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jonat\OneDrive\Documents\Workspace\fluxcy_dashboard_beta\apps\web\public\templates\"/>
    </mc:Choice>
  </mc:AlternateContent>
  <xr:revisionPtr revIDLastSave="0" documentId="8_{1B38E970-0508-45EA-A7C3-58A696D47A64}" xr6:coauthVersionLast="47" xr6:coauthVersionMax="47" xr10:uidLastSave="{00000000-0000-0000-0000-000000000000}"/>
  <bookViews>
    <workbookView xWindow="-120" yWindow="-120" windowWidth="29040" windowHeight="15720" tabRatio="830" firstSheet="2" activeTab="3" xr2:uid="{109FC909-32C7-4F22-A1A4-2ED36357A1C4}"/>
  </bookViews>
  <sheets>
    <sheet name="ResultadosPrueba" sheetId="3" state="hidden" r:id="rId1"/>
    <sheet name="Result. Pples" sheetId="4" state="hidden" r:id="rId2"/>
    <sheet name="Result.Entrega" sheetId="6" r:id="rId3"/>
    <sheet name="Corrida" sheetId="7" r:id="rId4"/>
    <sheet name="Grafico" sheetId="9" r:id="rId5"/>
    <sheet name="FLOW RATE " sheetId="11" r:id="rId6"/>
  </sheets>
  <definedNames>
    <definedName name="Print_Area" localSheetId="3">Corrida!$B$2:$V$35</definedName>
    <definedName name="Print_Area" localSheetId="1">'Result. Pples'!$A$1:$R$35</definedName>
    <definedName name="Print_Titles" localSheetId="3">Corrida!$B:$V,Corrida!$2:$11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0" i="7" l="1"/>
  <c r="X50" i="7"/>
  <c r="W50" i="7"/>
  <c r="V50" i="7"/>
  <c r="R7" i="7"/>
  <c r="I10" i="6"/>
  <c r="H10" i="6"/>
  <c r="C32" i="6"/>
  <c r="R50" i="7"/>
  <c r="H13" i="6"/>
  <c r="S50" i="7"/>
  <c r="T50" i="7"/>
  <c r="U50" i="7"/>
  <c r="D13" i="6" s="1"/>
  <c r="M50" i="7"/>
  <c r="I13" i="6" s="1"/>
  <c r="I11" i="6"/>
  <c r="H11" i="6"/>
  <c r="R13" i="6"/>
  <c r="I50" i="7"/>
  <c r="P13" i="6"/>
  <c r="M13" i="6" s="1"/>
  <c r="D50" i="7"/>
  <c r="L13" i="6" s="1"/>
  <c r="N13" i="6" s="1"/>
  <c r="N15" i="7"/>
  <c r="P15" i="7"/>
  <c r="N16" i="7"/>
  <c r="P16" i="7"/>
  <c r="N17" i="7"/>
  <c r="P17" i="7"/>
  <c r="N18" i="7"/>
  <c r="P18" i="7"/>
  <c r="N19" i="7"/>
  <c r="P19" i="7"/>
  <c r="N20" i="7"/>
  <c r="P20" i="7"/>
  <c r="N21" i="7"/>
  <c r="P21" i="7" s="1"/>
  <c r="N22" i="7"/>
  <c r="P22" i="7" s="1"/>
  <c r="N23" i="7"/>
  <c r="P23" i="7"/>
  <c r="N24" i="7"/>
  <c r="P24" i="7" s="1"/>
  <c r="N25" i="7"/>
  <c r="P25" i="7" s="1"/>
  <c r="N26" i="7"/>
  <c r="P26" i="7" s="1"/>
  <c r="N27" i="7"/>
  <c r="P27" i="7"/>
  <c r="N28" i="7"/>
  <c r="P28" i="7" s="1"/>
  <c r="N29" i="7"/>
  <c r="P29" i="7" s="1"/>
  <c r="N30" i="7"/>
  <c r="P30" i="7" s="1"/>
  <c r="Q30" i="7" s="1"/>
  <c r="N31" i="7"/>
  <c r="P31" i="7"/>
  <c r="N32" i="7"/>
  <c r="P32" i="7" s="1"/>
  <c r="Q32" i="7" s="1"/>
  <c r="N33" i="7"/>
  <c r="P33" i="7" s="1"/>
  <c r="N34" i="7"/>
  <c r="P34" i="7" s="1"/>
  <c r="N35" i="7"/>
  <c r="P35" i="7"/>
  <c r="N36" i="7"/>
  <c r="P36" i="7" s="1"/>
  <c r="N37" i="7"/>
  <c r="P37" i="7" s="1"/>
  <c r="N38" i="7"/>
  <c r="P38" i="7" s="1"/>
  <c r="N39" i="7"/>
  <c r="P39" i="7"/>
  <c r="N40" i="7"/>
  <c r="P40" i="7" s="1"/>
  <c r="N41" i="7"/>
  <c r="P41" i="7"/>
  <c r="N42" i="7"/>
  <c r="P42" i="7"/>
  <c r="N43" i="7"/>
  <c r="P43" i="7"/>
  <c r="N44" i="7"/>
  <c r="P44" i="7"/>
  <c r="N45" i="7"/>
  <c r="P45" i="7"/>
  <c r="N46" i="7"/>
  <c r="P46" i="7"/>
  <c r="N47" i="7"/>
  <c r="P47" i="7"/>
  <c r="N48" i="7"/>
  <c r="P48" i="7"/>
  <c r="N49" i="7"/>
  <c r="P49" i="7"/>
  <c r="N14" i="7"/>
  <c r="P14" i="7"/>
  <c r="E15" i="7"/>
  <c r="F15" i="7"/>
  <c r="G15" i="7" s="1"/>
  <c r="E16" i="7"/>
  <c r="F16" i="7"/>
  <c r="G16" i="7" s="1"/>
  <c r="E17" i="7"/>
  <c r="F17" i="7"/>
  <c r="G17" i="7"/>
  <c r="J17" i="7" s="1"/>
  <c r="E18" i="7"/>
  <c r="F18" i="7" s="1"/>
  <c r="G18" i="7" s="1"/>
  <c r="E19" i="7"/>
  <c r="F19" i="7"/>
  <c r="G19" i="7"/>
  <c r="E20" i="7"/>
  <c r="F20" i="7" s="1"/>
  <c r="G20" i="7" s="1"/>
  <c r="E21" i="7"/>
  <c r="F21" i="7"/>
  <c r="G21" i="7"/>
  <c r="E22" i="7"/>
  <c r="F22" i="7" s="1"/>
  <c r="G22" i="7" s="1"/>
  <c r="E23" i="7"/>
  <c r="F23" i="7"/>
  <c r="G23" i="7"/>
  <c r="H23" i="7" s="1"/>
  <c r="Q23" i="7" s="1"/>
  <c r="J23" i="7"/>
  <c r="E24" i="7"/>
  <c r="F24" i="7" s="1"/>
  <c r="G24" i="7" s="1"/>
  <c r="E25" i="7"/>
  <c r="F25" i="7"/>
  <c r="G25" i="7"/>
  <c r="E26" i="7"/>
  <c r="F26" i="7" s="1"/>
  <c r="G26" i="7" s="1"/>
  <c r="E27" i="7"/>
  <c r="F27" i="7"/>
  <c r="G27" i="7"/>
  <c r="E28" i="7"/>
  <c r="F28" i="7" s="1"/>
  <c r="G28" i="7" s="1"/>
  <c r="E29" i="7"/>
  <c r="F29" i="7"/>
  <c r="G29" i="7" s="1"/>
  <c r="E30" i="7"/>
  <c r="F30" i="7"/>
  <c r="G30" i="7"/>
  <c r="E31" i="7"/>
  <c r="F31" i="7"/>
  <c r="G31" i="7" s="1"/>
  <c r="E32" i="7"/>
  <c r="F32" i="7"/>
  <c r="G32" i="7"/>
  <c r="E33" i="7"/>
  <c r="F33" i="7"/>
  <c r="G33" i="7" s="1"/>
  <c r="E34" i="7"/>
  <c r="F34" i="7" s="1"/>
  <c r="G34" i="7" s="1"/>
  <c r="E35" i="7"/>
  <c r="F35" i="7" s="1"/>
  <c r="G35" i="7" s="1"/>
  <c r="E36" i="7"/>
  <c r="F36" i="7" s="1"/>
  <c r="G36" i="7" s="1"/>
  <c r="E37" i="7"/>
  <c r="F37" i="7"/>
  <c r="G37" i="7" s="1"/>
  <c r="E38" i="7"/>
  <c r="F38" i="7" s="1"/>
  <c r="G38" i="7" s="1"/>
  <c r="E39" i="7"/>
  <c r="F39" i="7"/>
  <c r="G39" i="7"/>
  <c r="J39" i="7" s="1"/>
  <c r="E40" i="7"/>
  <c r="F40" i="7" s="1"/>
  <c r="G40" i="7" s="1"/>
  <c r="E41" i="7"/>
  <c r="F41" i="7"/>
  <c r="G41" i="7"/>
  <c r="E42" i="7"/>
  <c r="F42" i="7"/>
  <c r="G42" i="7" s="1"/>
  <c r="E43" i="7"/>
  <c r="F43" i="7" s="1"/>
  <c r="G43" i="7" s="1"/>
  <c r="E44" i="7"/>
  <c r="F44" i="7"/>
  <c r="G44" i="7" s="1"/>
  <c r="E45" i="7"/>
  <c r="F45" i="7" s="1"/>
  <c r="G45" i="7" s="1"/>
  <c r="E46" i="7"/>
  <c r="F46" i="7"/>
  <c r="G46" i="7"/>
  <c r="J46" i="7" s="1"/>
  <c r="H46" i="7" s="1"/>
  <c r="Q46" i="7" s="1"/>
  <c r="E47" i="7"/>
  <c r="F47" i="7"/>
  <c r="G47" i="7" s="1"/>
  <c r="E48" i="7"/>
  <c r="F48" i="7"/>
  <c r="G48" i="7"/>
  <c r="H48" i="7" s="1"/>
  <c r="E49" i="7"/>
  <c r="F49" i="7" s="1"/>
  <c r="G49" i="7" s="1"/>
  <c r="E14" i="7"/>
  <c r="F14" i="7" s="1"/>
  <c r="G14" i="7" s="1"/>
  <c r="D9" i="3"/>
  <c r="D11" i="3"/>
  <c r="D12" i="3"/>
  <c r="D13" i="3"/>
  <c r="F10" i="3"/>
  <c r="F9" i="3"/>
  <c r="F13" i="3"/>
  <c r="Q22" i="4"/>
  <c r="R14" i="4"/>
  <c r="R22" i="4"/>
  <c r="B27" i="4"/>
  <c r="O8" i="7"/>
  <c r="A5" i="4"/>
  <c r="N6" i="4"/>
  <c r="B35" i="4"/>
  <c r="P6" i="4"/>
  <c r="B10" i="4"/>
  <c r="E10" i="4"/>
  <c r="K10" i="4"/>
  <c r="B11" i="4"/>
  <c r="H11" i="4"/>
  <c r="M11" i="4"/>
  <c r="B12" i="4"/>
  <c r="H12" i="4"/>
  <c r="M12" i="4"/>
  <c r="B13" i="4"/>
  <c r="H13" i="4"/>
  <c r="M13" i="4"/>
  <c r="B14" i="4"/>
  <c r="H14" i="4"/>
  <c r="M14" i="4"/>
  <c r="B18" i="4"/>
  <c r="E18" i="4"/>
  <c r="H18" i="4"/>
  <c r="K18" i="4"/>
  <c r="M18" i="4"/>
  <c r="Q18" i="4"/>
  <c r="B22" i="4"/>
  <c r="C22" i="4"/>
  <c r="K22" i="4"/>
  <c r="B26" i="4"/>
  <c r="B28" i="4"/>
  <c r="B6" i="3"/>
  <c r="B5" i="3"/>
  <c r="C7" i="3"/>
  <c r="E7" i="3" s="1"/>
  <c r="F7" i="3"/>
  <c r="C8" i="3"/>
  <c r="E8" i="3"/>
  <c r="F8" i="3"/>
  <c r="C9" i="3"/>
  <c r="E9" i="3" s="1"/>
  <c r="C10" i="3"/>
  <c r="E10" i="3" s="1"/>
  <c r="C11" i="3"/>
  <c r="E11" i="3"/>
  <c r="F11" i="3"/>
  <c r="C12" i="3"/>
  <c r="E12" i="3"/>
  <c r="F12" i="3"/>
  <c r="C13" i="3"/>
  <c r="E13" i="3" s="1"/>
  <c r="F6" i="3"/>
  <c r="D10" i="3"/>
  <c r="D8" i="3"/>
  <c r="D7" i="3"/>
  <c r="F28" i="4"/>
  <c r="F27" i="4"/>
  <c r="C6" i="3"/>
  <c r="E6" i="3" s="1"/>
  <c r="D6" i="3"/>
  <c r="R13" i="4"/>
  <c r="R10" i="4"/>
  <c r="R12" i="4"/>
  <c r="F26" i="4"/>
  <c r="N22" i="4"/>
  <c r="F22" i="4"/>
  <c r="R11" i="4"/>
  <c r="B9" i="3"/>
  <c r="B8" i="3"/>
  <c r="P22" i="4"/>
  <c r="O22" i="4"/>
  <c r="D26" i="4"/>
  <c r="H26" i="4" s="1"/>
  <c r="B10" i="3"/>
  <c r="B7" i="3"/>
  <c r="H22" i="4"/>
  <c r="E22" i="4" s="1"/>
  <c r="J26" i="4"/>
  <c r="J22" i="4"/>
  <c r="L22" i="4"/>
  <c r="M22" i="4"/>
  <c r="B11" i="3"/>
  <c r="G22" i="4"/>
  <c r="B12" i="3"/>
  <c r="I22" i="4"/>
  <c r="K26" i="4"/>
  <c r="L26" i="4"/>
  <c r="D22" i="4"/>
  <c r="B13" i="3"/>
  <c r="J32" i="7"/>
  <c r="H32" i="7"/>
  <c r="J27" i="7"/>
  <c r="H27" i="7"/>
  <c r="Q27" i="7"/>
  <c r="J48" i="7"/>
  <c r="J30" i="7"/>
  <c r="H30" i="7"/>
  <c r="J26" i="7" l="1"/>
  <c r="H26" i="7"/>
  <c r="Q26" i="7" s="1"/>
  <c r="J40" i="7"/>
  <c r="H40" i="7"/>
  <c r="Q40" i="7" s="1"/>
  <c r="J34" i="7"/>
  <c r="H34" i="7" s="1"/>
  <c r="Q34" i="7" s="1"/>
  <c r="J43" i="7"/>
  <c r="H43" i="7"/>
  <c r="K13" i="6"/>
  <c r="O13" i="6" s="1"/>
  <c r="J37" i="7"/>
  <c r="H37" i="7" s="1"/>
  <c r="Q37" i="7" s="1"/>
  <c r="J44" i="7"/>
  <c r="H44" i="7"/>
  <c r="Q44" i="7" s="1"/>
  <c r="J35" i="7"/>
  <c r="H35" i="7" s="1"/>
  <c r="Q35" i="7" s="1"/>
  <c r="J15" i="7"/>
  <c r="H15" i="7" s="1"/>
  <c r="Q15" i="7" s="1"/>
  <c r="Q43" i="7"/>
  <c r="J47" i="7"/>
  <c r="H47" i="7" s="1"/>
  <c r="Q47" i="7" s="1"/>
  <c r="J33" i="7"/>
  <c r="H33" i="7" s="1"/>
  <c r="Q33" i="7" s="1"/>
  <c r="J42" i="7"/>
  <c r="H42" i="7" s="1"/>
  <c r="Q42" i="7" s="1"/>
  <c r="H22" i="7"/>
  <c r="Q22" i="7" s="1"/>
  <c r="J22" i="7"/>
  <c r="J18" i="7"/>
  <c r="H18" i="7"/>
  <c r="Q18" i="7" s="1"/>
  <c r="J38" i="7"/>
  <c r="H38" i="7"/>
  <c r="Q38" i="7" s="1"/>
  <c r="J29" i="7"/>
  <c r="H29" i="7" s="1"/>
  <c r="Q29" i="7" s="1"/>
  <c r="J14" i="7"/>
  <c r="H14" i="7"/>
  <c r="Q14" i="7" s="1"/>
  <c r="H41" i="7"/>
  <c r="Q41" i="7" s="1"/>
  <c r="J49" i="7"/>
  <c r="H49" i="7" s="1"/>
  <c r="Q49" i="7" s="1"/>
  <c r="J28" i="7"/>
  <c r="H28" i="7" s="1"/>
  <c r="Q28" i="7" s="1"/>
  <c r="J24" i="7"/>
  <c r="H24" i="7" s="1"/>
  <c r="Q24" i="7" s="1"/>
  <c r="J45" i="7"/>
  <c r="H45" i="7"/>
  <c r="Q45" i="7" s="1"/>
  <c r="H36" i="7"/>
  <c r="Q36" i="7" s="1"/>
  <c r="J36" i="7"/>
  <c r="J31" i="7"/>
  <c r="H31" i="7" s="1"/>
  <c r="Q31" i="7" s="1"/>
  <c r="J20" i="7"/>
  <c r="H20" i="7"/>
  <c r="Q20" i="7" s="1"/>
  <c r="J16" i="7"/>
  <c r="H16" i="7"/>
  <c r="Q16" i="7" s="1"/>
  <c r="Q48" i="7"/>
  <c r="H39" i="7"/>
  <c r="Q39" i="7" s="1"/>
  <c r="H17" i="7"/>
  <c r="Q17" i="7" s="1"/>
  <c r="D27" i="4"/>
  <c r="J25" i="7"/>
  <c r="H25" i="7" s="1"/>
  <c r="Q25" i="7" s="1"/>
  <c r="J21" i="7"/>
  <c r="H21" i="7" s="1"/>
  <c r="Q21" i="7" s="1"/>
  <c r="J19" i="7"/>
  <c r="H19" i="7" s="1"/>
  <c r="Q19" i="7" s="1"/>
  <c r="J41" i="7"/>
  <c r="J13" i="6" l="1"/>
  <c r="Q13" i="6"/>
  <c r="D28" i="4"/>
  <c r="H28" i="4" s="1"/>
  <c r="H27" i="4"/>
</calcChain>
</file>

<file path=xl/sharedStrings.xml><?xml version="1.0" encoding="utf-8"?>
<sst xmlns="http://schemas.openxmlformats.org/spreadsheetml/2006/main" count="305" uniqueCount="177">
  <si>
    <t>BCP</t>
  </si>
  <si>
    <t>PSI</t>
  </si>
  <si>
    <t>Pozo</t>
  </si>
  <si>
    <t>Fecha</t>
  </si>
  <si>
    <t>P. Lín. Prod.</t>
  </si>
  <si>
    <t>Psi</t>
  </si>
  <si>
    <t>T. Lín. Prod.</t>
  </si>
  <si>
    <t>°F</t>
  </si>
  <si>
    <t>Lecturas Obtenidas Durante la Prueba</t>
  </si>
  <si>
    <t>Hora</t>
  </si>
  <si>
    <t>Lectura Coriolis/Scanner200</t>
  </si>
  <si>
    <t>BTD</t>
  </si>
  <si>
    <t>BBD</t>
  </si>
  <si>
    <t>INICIAL</t>
  </si>
  <si>
    <t>CORIOLIS</t>
  </si>
  <si>
    <t>BAxH</t>
  </si>
  <si>
    <t>SCanner</t>
  </si>
  <si>
    <t xml:space="preserve">REPORTE DE PRUEBA A POZO                                                    </t>
  </si>
  <si>
    <t>Código: SMA21-SI-017</t>
  </si>
  <si>
    <t>Fecha de Emisión: 01/04/24</t>
  </si>
  <si>
    <t xml:space="preserve">Fecha de Revisión: </t>
  </si>
  <si>
    <t>Revisión: 0</t>
  </si>
  <si>
    <t xml:space="preserve">Nº DE CONTRATO: </t>
  </si>
  <si>
    <t>FECHA:</t>
  </si>
  <si>
    <t>Nº REPORTE:</t>
  </si>
  <si>
    <t>CONDICIONES INICIALES</t>
  </si>
  <si>
    <t>PARAMETROS OPERACIONALES DE POZO</t>
  </si>
  <si>
    <t>DATOS LABORATORIO</t>
  </si>
  <si>
    <t>P. Cabezal</t>
  </si>
  <si>
    <t>Prom. Dur. Prueba</t>
  </si>
  <si>
    <t>Prom.Dur.Prueb</t>
  </si>
  <si>
    <t>°API/60°F(form.)</t>
  </si>
  <si>
    <t>P. Casing</t>
  </si>
  <si>
    <t>VELOCIDAD (RPM, SPM)</t>
  </si>
  <si>
    <t>FRECUENCIA (Hz)</t>
  </si>
  <si>
    <t>°API/60°F(mezc.)</t>
  </si>
  <si>
    <t>P. Línea</t>
  </si>
  <si>
    <t>TORQUE (%)</t>
  </si>
  <si>
    <t>PRESIÓN DE FONDO (PSI)</t>
  </si>
  <si>
    <t>°API/60°F(dil.)</t>
  </si>
  <si>
    <t>INTENSIDAD (Amp.)</t>
  </si>
  <si>
    <t>TEMPERATURA FONDO (°F)</t>
  </si>
  <si>
    <t>% H2O (form.)</t>
  </si>
  <si>
    <t>VOLTAGE (Volt.)</t>
  </si>
  <si>
    <t>CHOQUE (In)</t>
  </si>
  <si>
    <t>% H2O (diluente)</t>
  </si>
  <si>
    <t>RESULTADOS PRINCIPALES</t>
  </si>
  <si>
    <t>Cliente:</t>
  </si>
  <si>
    <t>Campo:</t>
  </si>
  <si>
    <t>Pozo:</t>
  </si>
  <si>
    <t>Yacimient.:</t>
  </si>
  <si>
    <t>Arena:</t>
  </si>
  <si>
    <t>Estación desc.:</t>
  </si>
  <si>
    <t>DURACIÓN PRUEBA</t>
  </si>
  <si>
    <t>Q.PET</t>
  </si>
  <si>
    <t>%H2O</t>
  </si>
  <si>
    <t>Q.H2O</t>
  </si>
  <si>
    <t>DILUENTE</t>
  </si>
  <si>
    <t>Q.Gas/Total</t>
  </si>
  <si>
    <t>Q.Gas/Iny.</t>
  </si>
  <si>
    <t>Q.Gas/Form.</t>
  </si>
  <si>
    <t>RGP</t>
  </si>
  <si>
    <t>T.Equip.</t>
  </si>
  <si>
    <t>P.Cab.</t>
  </si>
  <si>
    <t>P.Csg.</t>
  </si>
  <si>
    <t>P.Equip.</t>
  </si>
  <si>
    <t>P. Iny.</t>
  </si>
  <si>
    <t>HRS</t>
  </si>
  <si>
    <t xml:space="preserve"> ACUM</t>
  </si>
  <si>
    <t>BTPD</t>
  </si>
  <si>
    <t>BBPD</t>
  </si>
  <si>
    <t>mezcl.</t>
  </si>
  <si>
    <t>BPD</t>
  </si>
  <si>
    <t>BNPD</t>
  </si>
  <si>
    <t>MPCPD</t>
  </si>
  <si>
    <t>MPCGD</t>
  </si>
  <si>
    <t>PC/BN</t>
  </si>
  <si>
    <t>Resultados @ Cond. Estand.:</t>
  </si>
  <si>
    <t>Promedio:</t>
  </si>
  <si>
    <r>
      <t>Observaciones:</t>
    </r>
    <r>
      <rPr>
        <u/>
        <sz val="10"/>
        <rFont val="Arial"/>
        <family val="2"/>
      </rPr>
      <t xml:space="preserve"> </t>
    </r>
  </si>
  <si>
    <t>MUESTRA</t>
  </si>
  <si>
    <t xml:space="preserve">HORA </t>
  </si>
  <si>
    <t>FECHA</t>
  </si>
  <si>
    <t>AGUA %</t>
  </si>
  <si>
    <t>SE (%)</t>
  </si>
  <si>
    <t>H. ANALISIS</t>
  </si>
  <si>
    <t>DIL.(BPD)</t>
  </si>
  <si>
    <t>Q.PET(BNPD)</t>
  </si>
  <si>
    <t>BPD(DCO)</t>
  </si>
  <si>
    <t>POR SERVICIOSAGUILERAS</t>
  </si>
  <si>
    <t>POR EL CLIENTE</t>
  </si>
  <si>
    <t>*Solo Pruebas Oficiales</t>
  </si>
  <si>
    <t>POR EL MPPPM</t>
  </si>
  <si>
    <t>Nombre:</t>
  </si>
  <si>
    <t>Cargo:</t>
  </si>
  <si>
    <t>Supervisor</t>
  </si>
  <si>
    <t>Ing. De Mediciòn</t>
  </si>
  <si>
    <t>Firma:</t>
  </si>
  <si>
    <t xml:space="preserve">Fecha: </t>
  </si>
  <si>
    <t>BDPD</t>
  </si>
  <si>
    <t>SERVICIOS Y MANTENIMIENTOS AGUILERA 21, C.A</t>
  </si>
  <si>
    <t>Método  de Extracción</t>
  </si>
  <si>
    <t>Permiso de Trabajo</t>
  </si>
  <si>
    <t>Inicio de Prueba</t>
  </si>
  <si>
    <t>Fin de Prueba</t>
  </si>
  <si>
    <t>Nº DE CONTRATO: 4620023437</t>
  </si>
  <si>
    <t xml:space="preserve">HOJA  RESUMEN - PRUEBA DE POZO </t>
  </si>
  <si>
    <t>ART</t>
  </si>
  <si>
    <t>Macolla</t>
  </si>
  <si>
    <t>N° Reporte</t>
  </si>
  <si>
    <t>RPM</t>
  </si>
  <si>
    <t>Horas de Prueba (hh:mm:ss)</t>
  </si>
  <si>
    <t xml:space="preserve">Temp. de Línea (°F) </t>
  </si>
  <si>
    <t>Tasa de Gas Estándar Producido (mpced)</t>
  </si>
  <si>
    <t>Tasa  de Petróleo Producido DCO 
(bpd)</t>
  </si>
  <si>
    <t>Tasa de Agua Producida (bpd)</t>
  </si>
  <si>
    <t>Barriles Totales (bpd)</t>
  </si>
  <si>
    <t>Barriles Bruto (bpd)</t>
  </si>
  <si>
    <t>Barriles Neto 
EHO      (bpd)</t>
  </si>
  <si>
    <t>Corte de Agua Crudo Formación (%)</t>
  </si>
  <si>
    <t>RGP Total (pced/bpd)</t>
  </si>
  <si>
    <t>Tasa de Diluente Inyectado (bpd)</t>
  </si>
  <si>
    <t>PETROPIAR</t>
  </si>
  <si>
    <t xml:space="preserve">           </t>
  </si>
  <si>
    <t>WC (%) Formación</t>
  </si>
  <si>
    <t xml:space="preserve">Torque: </t>
  </si>
  <si>
    <t>Lbft</t>
  </si>
  <si>
    <t>Muestra</t>
  </si>
  <si>
    <t>Agua(%)</t>
  </si>
  <si>
    <t>Se(%)</t>
  </si>
  <si>
    <t>H. Analisis</t>
  </si>
  <si>
    <t>Corriente:</t>
  </si>
  <si>
    <t>Amp</t>
  </si>
  <si>
    <t>Presión Cabezal:</t>
  </si>
  <si>
    <t>Presión Casing:</t>
  </si>
  <si>
    <t>POR SERVICIOS AGUILERAS</t>
  </si>
  <si>
    <t>CORRIDA DE PRUEBA A POZO</t>
  </si>
  <si>
    <t>Estación des:</t>
  </si>
  <si>
    <t xml:space="preserve">                   TIEMPO</t>
  </si>
  <si>
    <t>Q.Gas/Med.H</t>
  </si>
  <si>
    <t xml:space="preserve">  HORA</t>
  </si>
  <si>
    <t>BTxH</t>
  </si>
  <si>
    <t>SE INICIA LA PRUEBA DE PRODUCCIÓN</t>
  </si>
  <si>
    <t>TOTALES</t>
  </si>
  <si>
    <t>PARAMETROS INICIALES</t>
  </si>
  <si>
    <t>MPCP</t>
  </si>
  <si>
    <t>Porcentaje de agua Mezcla (%)</t>
  </si>
  <si>
    <t>Presión de Equipo (psia)</t>
  </si>
  <si>
    <t>Código: SMA21-0P-FO-007</t>
  </si>
  <si>
    <t>Fecha de Emisión: 11/05/2025</t>
  </si>
  <si>
    <t xml:space="preserve">Fecha de Revisión: 31/08/25 </t>
  </si>
  <si>
    <t>Pág. 3 de 3</t>
  </si>
  <si>
    <t>Fecha de Revisión: 31/08/25</t>
  </si>
  <si>
    <t>Pág. 2 de 3</t>
  </si>
  <si>
    <t>Pág. 1 de 3</t>
  </si>
  <si>
    <t>Rpm</t>
  </si>
  <si>
    <t>INVOL</t>
  </si>
  <si>
    <t>FORM</t>
  </si>
  <si>
    <t>EQUIPO FLUXCY 001</t>
  </si>
  <si>
    <t>RELACION FLOW RATE LIQUIDO / FLOW RATE GAS</t>
  </si>
  <si>
    <t>Revisión: 1</t>
  </si>
  <si>
    <t>Velocidad:</t>
  </si>
  <si>
    <t>Consumo:</t>
  </si>
  <si>
    <t>kW</t>
  </si>
  <si>
    <t>Presión Macolla:</t>
  </si>
  <si>
    <t>"SERVICIO TECNICO PARA LA REALIZACIÓN  DE PRUEBAS DE POZOS CON MEDIDORES DE FLUJO PORTATILES EN EL CAMPO HUYAPARI EEMM PETROPIAR S.A"</t>
  </si>
  <si>
    <t>HUYAPARI</t>
  </si>
  <si>
    <t>PETROPIAR S.A</t>
  </si>
  <si>
    <t>20/02/2026</t>
  </si>
  <si>
    <t>21/02/2026</t>
  </si>
  <si>
    <t>H1B P01</t>
  </si>
  <si>
    <t>H1B</t>
  </si>
  <si>
    <t>025</t>
  </si>
  <si>
    <t>AMP (A)</t>
  </si>
  <si>
    <t>CONS (Kw/h)</t>
  </si>
  <si>
    <t>TOR (lb/ft)</t>
  </si>
  <si>
    <t>VEL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</si>
</sst>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71" formatCode="_ * #,##0.00_ ;_ * \-#,##0.00_ ;_ * &quot;-&quot;??_ ;_ @_ "/>
    <numFmt numFmtId="176" formatCode="_ &quot;Bs&quot;\ * #,##0.00_ ;_ &quot;Bs&quot;\ * \-#,##0.00_ ;_ &quot;Bs&quot;\ * &quot;-&quot;??_ ;_ @_ "/>
    <numFmt numFmtId="179" formatCode="0.000;0;"/>
    <numFmt numFmtId="181" formatCode="0.0"/>
    <numFmt numFmtId="183" formatCode="0.00;0;"/>
    <numFmt numFmtId="184" formatCode="#,##0.0"/>
    <numFmt numFmtId="185" formatCode="[h]:mm:ss;@"/>
    <numFmt numFmtId="186" formatCode="0.0;[Red]0.0"/>
    <numFmt numFmtId="187" formatCode="[$-409]d\-mmm\-yy;@"/>
    <numFmt numFmtId="189" formatCode="dd/mm/yyyy;@"/>
    <numFmt numFmtId="190" formatCode="0;0;"/>
    <numFmt numFmtId="193" formatCode="dd/mm/yy;@"/>
  </numFmts>
  <fonts count="43">
    <font>
      <sz val="11"/>
      <color indexed="8"/>
      <name val="Calibri"/>
      <family val="2"/>
    </font>
    <font>
      <b/>
      <sz val="10"/>
      <name val="Times New Roman"/>
      <family val="1"/>
    </font>
    <font>
      <sz val="8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9"/>
      <color indexed="8"/>
      <name val="Arial"/>
      <family val="2"/>
    </font>
    <font>
      <b/>
      <sz val="8"/>
      <name val="Times New Roman"/>
      <family val="1"/>
    </font>
    <font>
      <b/>
      <sz val="10"/>
      <name val="Arial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color indexed="8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4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indexed="18"/>
      <name val="Times New Roman"/>
      <family val="1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b/>
      <sz val="9"/>
      <name val="Arial"/>
      <family val="2"/>
    </font>
    <font>
      <sz val="8"/>
      <color indexed="8"/>
      <name val="Calibri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7"/>
      <color indexed="8"/>
      <name val="Times New Roman"/>
      <family val="1"/>
    </font>
    <font>
      <b/>
      <sz val="7"/>
      <name val="Times New Roman"/>
      <family val="1"/>
    </font>
    <font>
      <b/>
      <u/>
      <sz val="10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29"/>
      </patternFill>
    </fill>
    <fill>
      <patternFill patternType="gray125">
        <fgColor indexed="29"/>
        <bgColor indexed="9"/>
      </patternFill>
    </fill>
    <fill>
      <patternFill patternType="solid">
        <fgColor indexed="11"/>
        <bgColor indexed="29"/>
      </patternFill>
    </fill>
    <fill>
      <patternFill patternType="solid">
        <fgColor indexed="43"/>
        <bgColor indexed="29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2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125">
        <fgColor indexed="29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8DCE0"/>
        <bgColor indexed="64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</borders>
  <cellStyleXfs count="9">
    <xf numFmtId="0" fontId="0" fillId="0" borderId="0"/>
    <xf numFmtId="17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6" fillId="0" borderId="0"/>
    <xf numFmtId="0" fontId="6" fillId="0" borderId="0"/>
    <xf numFmtId="0" fontId="38" fillId="0" borderId="0"/>
  </cellStyleXfs>
  <cellXfs count="643">
    <xf numFmtId="0" fontId="0" fillId="0" borderId="0" xfId="0"/>
    <xf numFmtId="0" fontId="0" fillId="0" borderId="0" xfId="0" applyBorder="1"/>
    <xf numFmtId="0" fontId="0" fillId="12" borderId="0" xfId="0" applyFill="1"/>
    <xf numFmtId="0" fontId="6" fillId="0" borderId="0" xfId="0" applyFont="1"/>
    <xf numFmtId="0" fontId="13" fillId="6" borderId="1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8" fillId="0" borderId="0" xfId="0" applyFont="1"/>
    <xf numFmtId="186" fontId="22" fillId="0" borderId="5" xfId="0" applyNumberFormat="1" applyFont="1" applyBorder="1" applyAlignment="1">
      <alignment horizontal="left" vertical="center"/>
    </xf>
    <xf numFmtId="186" fontId="22" fillId="0" borderId="6" xfId="0" applyNumberFormat="1" applyFont="1" applyBorder="1" applyAlignment="1">
      <alignment horizontal="left" vertical="center"/>
    </xf>
    <xf numFmtId="181" fontId="25" fillId="0" borderId="0" xfId="0" applyNumberFormat="1" applyFont="1" applyBorder="1" applyAlignment="1">
      <alignment horizontal="center" vertical="center"/>
    </xf>
    <xf numFmtId="15" fontId="7" fillId="0" borderId="0" xfId="6" applyNumberFormat="1" applyFont="1" applyBorder="1" applyAlignment="1">
      <alignment horizontal="left" vertical="top" wrapText="1"/>
    </xf>
    <xf numFmtId="15" fontId="16" fillId="0" borderId="0" xfId="6" applyNumberFormat="1" applyFont="1" applyBorder="1" applyAlignment="1">
      <alignment horizontal="left" vertical="top" wrapText="1"/>
    </xf>
    <xf numFmtId="0" fontId="27" fillId="0" borderId="0" xfId="0" applyFont="1" applyAlignment="1">
      <alignment horizontal="centerContinuous"/>
    </xf>
    <xf numFmtId="0" fontId="27" fillId="0" borderId="0" xfId="0" applyFont="1" applyBorder="1" applyAlignment="1">
      <alignment horizontal="centerContinuous"/>
    </xf>
    <xf numFmtId="183" fontId="12" fillId="0" borderId="0" xfId="4" applyNumberFormat="1" applyFont="1" applyAlignment="1" applyProtection="1">
      <alignment vertical="center"/>
    </xf>
    <xf numFmtId="183" fontId="12" fillId="0" borderId="0" xfId="4" applyNumberFormat="1" applyFont="1" applyAlignment="1" applyProtection="1">
      <alignment horizontal="left" vertical="center"/>
    </xf>
    <xf numFmtId="0" fontId="22" fillId="0" borderId="7" xfId="0" applyFont="1" applyBorder="1" applyAlignment="1">
      <alignment vertical="center"/>
    </xf>
    <xf numFmtId="0" fontId="28" fillId="0" borderId="8" xfId="0" applyFont="1" applyBorder="1" applyAlignment="1">
      <alignment horizontal="center"/>
    </xf>
    <xf numFmtId="181" fontId="2" fillId="0" borderId="9" xfId="0" applyNumberFormat="1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2" fillId="0" borderId="11" xfId="0" applyFont="1" applyBorder="1" applyAlignment="1">
      <alignment vertical="center"/>
    </xf>
    <xf numFmtId="0" fontId="29" fillId="0" borderId="12" xfId="0" applyFont="1" applyBorder="1" applyAlignment="1">
      <alignment horizontal="center"/>
    </xf>
    <xf numFmtId="181" fontId="2" fillId="0" borderId="2" xfId="0" applyNumberFormat="1" applyFont="1" applyBorder="1" applyAlignment="1">
      <alignment horizontal="centerContinuous"/>
    </xf>
    <xf numFmtId="0" fontId="2" fillId="0" borderId="13" xfId="0" applyFont="1" applyBorder="1" applyAlignment="1">
      <alignment horizontal="centerContinuous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8" fillId="0" borderId="12" xfId="0" applyFont="1" applyBorder="1" applyAlignment="1">
      <alignment horizontal="center"/>
    </xf>
    <xf numFmtId="0" fontId="25" fillId="0" borderId="3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8" fillId="0" borderId="15" xfId="0" applyFont="1" applyBorder="1" applyAlignment="1">
      <alignment horizontal="center"/>
    </xf>
    <xf numFmtId="181" fontId="2" fillId="0" borderId="16" xfId="0" applyNumberFormat="1" applyFont="1" applyBorder="1" applyAlignment="1">
      <alignment horizontal="centerContinuous"/>
    </xf>
    <xf numFmtId="0" fontId="2" fillId="0" borderId="17" xfId="0" applyFont="1" applyBorder="1" applyAlignment="1">
      <alignment horizontal="centerContinuous"/>
    </xf>
    <xf numFmtId="0" fontId="25" fillId="0" borderId="18" xfId="0" applyFont="1" applyBorder="1" applyAlignment="1">
      <alignment vertical="center"/>
    </xf>
    <xf numFmtId="0" fontId="28" fillId="0" borderId="19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Continuous"/>
    </xf>
    <xf numFmtId="0" fontId="2" fillId="0" borderId="21" xfId="0" applyFont="1" applyBorder="1" applyAlignment="1">
      <alignment horizontal="centerContinuous"/>
    </xf>
    <xf numFmtId="0" fontId="25" fillId="0" borderId="0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186" fontId="25" fillId="0" borderId="0" xfId="0" applyNumberFormat="1" applyFont="1" applyBorder="1" applyAlignment="1">
      <alignment horizontal="center" vertical="center"/>
    </xf>
    <xf numFmtId="20" fontId="10" fillId="0" borderId="24" xfId="5" applyNumberFormat="1" applyFont="1" applyBorder="1" applyAlignment="1">
      <alignment horizontal="center" vertical="center"/>
    </xf>
    <xf numFmtId="20" fontId="10" fillId="0" borderId="25" xfId="0" applyNumberFormat="1" applyFont="1" applyBorder="1" applyAlignment="1">
      <alignment horizontal="center" vertical="center"/>
    </xf>
    <xf numFmtId="183" fontId="10" fillId="0" borderId="25" xfId="4" applyNumberFormat="1" applyFont="1" applyBorder="1" applyAlignment="1" applyProtection="1">
      <alignment horizontal="center" vertical="center"/>
    </xf>
    <xf numFmtId="0" fontId="13" fillId="7" borderId="19" xfId="0" applyFont="1" applyFill="1" applyBorder="1" applyAlignment="1"/>
    <xf numFmtId="0" fontId="13" fillId="7" borderId="2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14" fontId="31" fillId="5" borderId="0" xfId="0" applyNumberFormat="1" applyFont="1" applyFill="1" applyBorder="1" applyAlignment="1">
      <alignment horizontal="left" vertical="center"/>
    </xf>
    <xf numFmtId="20" fontId="32" fillId="5" borderId="0" xfId="0" applyNumberFormat="1" applyFont="1" applyFill="1" applyBorder="1" applyAlignment="1">
      <alignment horizontal="center"/>
    </xf>
    <xf numFmtId="0" fontId="31" fillId="5" borderId="0" xfId="0" applyFont="1" applyFill="1"/>
    <xf numFmtId="0" fontId="20" fillId="0" borderId="0" xfId="0" applyFont="1"/>
    <xf numFmtId="189" fontId="7" fillId="5" borderId="19" xfId="0" applyNumberFormat="1" applyFont="1" applyFill="1" applyBorder="1" applyAlignment="1"/>
    <xf numFmtId="1" fontId="7" fillId="10" borderId="28" xfId="0" applyNumberFormat="1" applyFont="1" applyFill="1" applyBorder="1" applyAlignment="1">
      <alignment horizontal="center"/>
    </xf>
    <xf numFmtId="184" fontId="12" fillId="10" borderId="26" xfId="0" applyNumberFormat="1" applyFont="1" applyFill="1" applyBorder="1" applyAlignment="1">
      <alignment horizontal="center"/>
    </xf>
    <xf numFmtId="14" fontId="33" fillId="0" borderId="0" xfId="0" applyNumberFormat="1" applyFont="1" applyFill="1" applyBorder="1" applyAlignment="1">
      <alignment horizontal="center"/>
    </xf>
    <xf numFmtId="20" fontId="33" fillId="0" borderId="0" xfId="0" applyNumberFormat="1" applyFont="1" applyFill="1" applyBorder="1" applyAlignment="1">
      <alignment horizontal="center"/>
    </xf>
    <xf numFmtId="0" fontId="34" fillId="0" borderId="0" xfId="0" applyFont="1"/>
    <xf numFmtId="0" fontId="35" fillId="0" borderId="0" xfId="0" applyFont="1" applyAlignment="1">
      <alignment vertical="center"/>
    </xf>
    <xf numFmtId="1" fontId="33" fillId="11" borderId="0" xfId="0" applyNumberFormat="1" applyFont="1" applyFill="1" applyBorder="1" applyAlignment="1">
      <alignment horizontal="center"/>
    </xf>
    <xf numFmtId="20" fontId="33" fillId="0" borderId="0" xfId="0" applyNumberFormat="1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8" fontId="0" fillId="0" borderId="2" xfId="0" applyNumberFormat="1" applyBorder="1" applyAlignment="1"/>
    <xf numFmtId="14" fontId="0" fillId="0" borderId="2" xfId="0" applyNumberFormat="1" applyBorder="1"/>
    <xf numFmtId="181" fontId="0" fillId="0" borderId="2" xfId="0" applyNumberFormat="1" applyBorder="1" applyAlignment="1">
      <alignment horizontal="center"/>
    </xf>
    <xf numFmtId="0" fontId="33" fillId="0" borderId="0" xfId="0" applyFont="1" applyAlignment="1">
      <alignment horizontal="left" vertical="center"/>
    </xf>
    <xf numFmtId="20" fontId="1" fillId="0" borderId="0" xfId="0" applyNumberFormat="1" applyFont="1" applyFill="1" applyBorder="1" applyAlignment="1"/>
    <xf numFmtId="0" fontId="18" fillId="0" borderId="29" xfId="6" applyFont="1" applyBorder="1"/>
    <xf numFmtId="0" fontId="18" fillId="0" borderId="12" xfId="6" applyFont="1" applyBorder="1"/>
    <xf numFmtId="0" fontId="18" fillId="0" borderId="5" xfId="6" applyFont="1" applyBorder="1"/>
    <xf numFmtId="15" fontId="23" fillId="0" borderId="0" xfId="6" applyNumberFormat="1" applyFont="1" applyBorder="1" applyAlignment="1">
      <alignment horizontal="left" vertical="top" wrapText="1"/>
    </xf>
    <xf numFmtId="183" fontId="12" fillId="0" borderId="0" xfId="4" applyNumberFormat="1" applyFont="1" applyBorder="1" applyAlignment="1" applyProtection="1">
      <alignment vertical="center"/>
    </xf>
    <xf numFmtId="190" fontId="12" fillId="0" borderId="0" xfId="4" applyNumberFormat="1" applyFont="1" applyAlignment="1" applyProtection="1">
      <alignment vertical="center"/>
    </xf>
    <xf numFmtId="0" fontId="7" fillId="0" borderId="0" xfId="0" applyFont="1" applyAlignment="1">
      <alignment horizontal="left"/>
    </xf>
    <xf numFmtId="179" fontId="12" fillId="0" borderId="0" xfId="4" applyNumberFormat="1" applyFont="1" applyAlignment="1" applyProtection="1">
      <alignment vertical="center"/>
    </xf>
    <xf numFmtId="0" fontId="36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5" fillId="0" borderId="30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13" fontId="25" fillId="0" borderId="0" xfId="0" applyNumberFormat="1" applyFont="1" applyBorder="1" applyAlignment="1">
      <alignment horizontal="center" vertical="center"/>
    </xf>
    <xf numFmtId="186" fontId="22" fillId="0" borderId="0" xfId="0" applyNumberFormat="1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7" fillId="0" borderId="0" xfId="0" applyFont="1" applyAlignment="1">
      <alignment horizontal="center"/>
    </xf>
    <xf numFmtId="183" fontId="10" fillId="0" borderId="25" xfId="4" applyNumberFormat="1" applyFont="1" applyBorder="1" applyAlignment="1" applyProtection="1">
      <alignment vertical="center"/>
    </xf>
    <xf numFmtId="20" fontId="11" fillId="0" borderId="34" xfId="0" applyNumberFormat="1" applyFont="1" applyBorder="1" applyAlignment="1">
      <alignment horizontal="center" vertical="center"/>
    </xf>
    <xf numFmtId="20" fontId="10" fillId="0" borderId="35" xfId="0" applyNumberFormat="1" applyFont="1" applyBorder="1" applyAlignment="1">
      <alignment horizontal="center" vertical="center"/>
    </xf>
    <xf numFmtId="0" fontId="17" fillId="9" borderId="6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184" fontId="0" fillId="0" borderId="2" xfId="0" applyNumberFormat="1" applyBorder="1" applyAlignment="1">
      <alignment horizontal="center" vertical="center"/>
    </xf>
    <xf numFmtId="181" fontId="25" fillId="0" borderId="13" xfId="0" applyNumberFormat="1" applyFont="1" applyBorder="1" applyAlignment="1">
      <alignment horizontal="center" vertical="center"/>
    </xf>
    <xf numFmtId="181" fontId="25" fillId="0" borderId="13" xfId="6" applyNumberFormat="1" applyFont="1" applyBorder="1" applyAlignment="1">
      <alignment horizontal="center" vertical="center"/>
    </xf>
    <xf numFmtId="181" fontId="25" fillId="0" borderId="36" xfId="0" applyNumberFormat="1" applyFont="1" applyBorder="1" applyAlignment="1">
      <alignment horizontal="center" vertical="center"/>
    </xf>
    <xf numFmtId="0" fontId="13" fillId="7" borderId="37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36" xfId="0" applyFont="1" applyFill="1" applyBorder="1" applyAlignment="1">
      <alignment horizontal="center"/>
    </xf>
    <xf numFmtId="184" fontId="12" fillId="10" borderId="38" xfId="0" applyNumberFormat="1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 vertical="center"/>
    </xf>
    <xf numFmtId="20" fontId="5" fillId="14" borderId="2" xfId="0" applyNumberFormat="1" applyFont="1" applyFill="1" applyBorder="1" applyAlignment="1">
      <alignment horizontal="center" vertical="center"/>
    </xf>
    <xf numFmtId="2" fontId="5" fillId="14" borderId="2" xfId="0" applyNumberFormat="1" applyFont="1" applyFill="1" applyBorder="1" applyAlignment="1">
      <alignment horizontal="center" vertical="center"/>
    </xf>
    <xf numFmtId="181" fontId="5" fillId="14" borderId="2" xfId="0" applyNumberFormat="1" applyFont="1" applyFill="1" applyBorder="1" applyAlignment="1">
      <alignment horizontal="center" vertical="center"/>
    </xf>
    <xf numFmtId="0" fontId="0" fillId="15" borderId="0" xfId="0" applyFill="1"/>
    <xf numFmtId="15" fontId="8" fillId="16" borderId="39" xfId="7" applyNumberFormat="1" applyFont="1" applyFill="1" applyBorder="1" applyAlignment="1">
      <alignment vertical="center" wrapText="1"/>
    </xf>
    <xf numFmtId="15" fontId="8" fillId="16" borderId="40" xfId="7" applyNumberFormat="1" applyFont="1" applyFill="1" applyBorder="1" applyAlignment="1">
      <alignment vertical="center" wrapText="1"/>
    </xf>
    <xf numFmtId="15" fontId="8" fillId="16" borderId="41" xfId="7" applyNumberFormat="1" applyFont="1" applyFill="1" applyBorder="1" applyAlignment="1">
      <alignment vertical="center" wrapText="1"/>
    </xf>
    <xf numFmtId="0" fontId="0" fillId="15" borderId="42" xfId="0" applyFill="1" applyBorder="1"/>
    <xf numFmtId="0" fontId="0" fillId="15" borderId="43" xfId="0" applyFill="1" applyBorder="1"/>
    <xf numFmtId="0" fontId="0" fillId="15" borderId="39" xfId="0" applyFill="1" applyBorder="1"/>
    <xf numFmtId="0" fontId="0" fillId="15" borderId="11" xfId="0" applyFill="1" applyBorder="1"/>
    <xf numFmtId="0" fontId="0" fillId="15" borderId="0" xfId="0" applyFill="1" applyBorder="1"/>
    <xf numFmtId="0" fontId="0" fillId="15" borderId="40" xfId="0" applyFill="1" applyBorder="1"/>
    <xf numFmtId="0" fontId="0" fillId="15" borderId="44" xfId="0" applyFill="1" applyBorder="1"/>
    <xf numFmtId="0" fontId="0" fillId="15" borderId="45" xfId="0" applyFill="1" applyBorder="1"/>
    <xf numFmtId="0" fontId="0" fillId="15" borderId="41" xfId="0" applyFill="1" applyBorder="1"/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20" fontId="10" fillId="0" borderId="2" xfId="5" applyNumberFormat="1" applyFont="1" applyBorder="1" applyAlignment="1" applyProtection="1">
      <alignment horizontal="center" vertical="center"/>
      <protection locked="0"/>
    </xf>
    <xf numFmtId="0" fontId="11" fillId="0" borderId="2" xfId="5" applyNumberFormat="1" applyFont="1" applyBorder="1" applyAlignment="1" applyProtection="1">
      <alignment horizontal="center" vertical="center"/>
      <protection locked="0"/>
    </xf>
    <xf numFmtId="20" fontId="10" fillId="0" borderId="2" xfId="0" applyNumberFormat="1" applyFont="1" applyBorder="1" applyAlignment="1" applyProtection="1">
      <alignment horizontal="center" vertical="center"/>
      <protection locked="0"/>
    </xf>
    <xf numFmtId="20" fontId="11" fillId="0" borderId="2" xfId="0" applyNumberFormat="1" applyFont="1" applyBorder="1" applyAlignment="1" applyProtection="1">
      <alignment horizontal="center" vertical="center"/>
      <protection locked="0"/>
    </xf>
    <xf numFmtId="183" fontId="10" fillId="0" borderId="2" xfId="4" applyNumberFormat="1" applyFont="1" applyBorder="1" applyAlignment="1" applyProtection="1">
      <alignment horizontal="center" vertical="center"/>
      <protection locked="0"/>
    </xf>
    <xf numFmtId="183" fontId="11" fillId="0" borderId="2" xfId="4" applyNumberFormat="1" applyFont="1" applyBorder="1" applyAlignment="1" applyProtection="1">
      <alignment horizontal="center" vertical="center"/>
      <protection locked="0"/>
    </xf>
    <xf numFmtId="183" fontId="10" fillId="0" borderId="2" xfId="4" applyNumberFormat="1" applyFont="1" applyBorder="1" applyAlignment="1" applyProtection="1">
      <alignment vertical="center"/>
      <protection locked="0"/>
    </xf>
    <xf numFmtId="0" fontId="40" fillId="7" borderId="2" xfId="0" applyFont="1" applyFill="1" applyBorder="1" applyAlignment="1" applyProtection="1">
      <alignment horizontal="center"/>
      <protection locked="0"/>
    </xf>
    <xf numFmtId="0" fontId="40" fillId="7" borderId="2" xfId="0" applyFont="1" applyFill="1" applyBorder="1" applyAlignment="1" applyProtection="1">
      <alignment horizontal="left"/>
      <protection locked="0"/>
    </xf>
    <xf numFmtId="0" fontId="40" fillId="6" borderId="2" xfId="0" applyFont="1" applyFill="1" applyBorder="1" applyAlignment="1" applyProtection="1">
      <alignment horizontal="center"/>
      <protection locked="0"/>
    </xf>
    <xf numFmtId="0" fontId="40" fillId="17" borderId="2" xfId="0" applyFont="1" applyFill="1" applyBorder="1" applyAlignment="1" applyProtection="1">
      <alignment horizontal="center"/>
      <protection locked="0"/>
    </xf>
    <xf numFmtId="0" fontId="41" fillId="9" borderId="2" xfId="0" applyFont="1" applyFill="1" applyBorder="1" applyAlignment="1" applyProtection="1">
      <alignment horizontal="center"/>
      <protection locked="0"/>
    </xf>
    <xf numFmtId="0" fontId="40" fillId="3" borderId="2" xfId="0" applyFont="1" applyFill="1" applyBorder="1" applyAlignment="1" applyProtection="1">
      <alignment horizontal="center"/>
      <protection locked="0"/>
    </xf>
    <xf numFmtId="0" fontId="40" fillId="8" borderId="2" xfId="0" applyFont="1" applyFill="1" applyBorder="1" applyAlignment="1" applyProtection="1">
      <alignment horizontal="center"/>
      <protection locked="0"/>
    </xf>
    <xf numFmtId="14" fontId="12" fillId="18" borderId="2" xfId="0" applyNumberFormat="1" applyFont="1" applyFill="1" applyBorder="1" applyAlignment="1" applyProtection="1">
      <alignment horizontal="center"/>
      <protection locked="0"/>
    </xf>
    <xf numFmtId="20" fontId="12" fillId="18" borderId="2" xfId="0" applyNumberFormat="1" applyFont="1" applyFill="1" applyBorder="1" applyAlignment="1" applyProtection="1">
      <alignment horizontal="center"/>
      <protection locked="0"/>
    </xf>
    <xf numFmtId="181" fontId="12" fillId="18" borderId="2" xfId="5" applyNumberFormat="1" applyFont="1" applyFill="1" applyBorder="1" applyAlignment="1" applyProtection="1">
      <alignment horizontal="center" vertical="center"/>
      <protection locked="0"/>
    </xf>
    <xf numFmtId="171" fontId="0" fillId="0" borderId="0" xfId="1" applyFont="1" applyProtection="1">
      <protection locked="0"/>
    </xf>
    <xf numFmtId="14" fontId="12" fillId="19" borderId="2" xfId="0" applyNumberFormat="1" applyFont="1" applyFill="1" applyBorder="1" applyAlignment="1" applyProtection="1">
      <alignment horizontal="center"/>
      <protection locked="0"/>
    </xf>
    <xf numFmtId="181" fontId="12" fillId="19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18" fillId="0" borderId="0" xfId="0" applyFont="1" applyProtection="1">
      <protection locked="0"/>
    </xf>
    <xf numFmtId="0" fontId="0" fillId="0" borderId="0" xfId="0" applyFill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8" fillId="5" borderId="46" xfId="0" applyFont="1" applyFill="1" applyBorder="1" applyAlignment="1" applyProtection="1">
      <alignment horizontal="center" vertical="center" wrapText="1"/>
      <protection locked="0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47" xfId="0" applyFont="1" applyFill="1" applyBorder="1" applyAlignment="1" applyProtection="1">
      <alignment horizontal="center" vertical="center" wrapText="1"/>
      <protection locked="0"/>
    </xf>
    <xf numFmtId="0" fontId="18" fillId="5" borderId="43" xfId="0" applyFont="1" applyFill="1" applyBorder="1" applyAlignment="1" applyProtection="1">
      <alignment horizontal="center" vertical="center"/>
      <protection locked="0"/>
    </xf>
    <xf numFmtId="0" fontId="18" fillId="5" borderId="39" xfId="0" applyFont="1" applyFill="1" applyBorder="1" applyAlignment="1" applyProtection="1">
      <alignment horizontal="center" vertical="center"/>
      <protection locked="0"/>
    </xf>
    <xf numFmtId="0" fontId="18" fillId="5" borderId="48" xfId="0" applyNumberFormat="1" applyFont="1" applyFill="1" applyBorder="1" applyAlignment="1" applyProtection="1">
      <alignment horizontal="center" vertical="center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5" xfId="0" applyFont="1" applyFill="1" applyBorder="1" applyAlignment="1" applyProtection="1">
      <alignment horizontal="center" vertical="center"/>
      <protection locked="0"/>
    </xf>
    <xf numFmtId="0" fontId="18" fillId="5" borderId="41" xfId="0" applyFont="1" applyFill="1" applyBorder="1" applyAlignment="1" applyProtection="1">
      <alignment horizontal="center" vertical="center"/>
      <protection locked="0"/>
    </xf>
    <xf numFmtId="2" fontId="18" fillId="4" borderId="49" xfId="0" applyNumberFormat="1" applyFont="1" applyFill="1" applyBorder="1" applyAlignment="1" applyProtection="1">
      <alignment horizontal="center" vertical="center" wrapText="1"/>
      <protection locked="0"/>
    </xf>
    <xf numFmtId="0" fontId="18" fillId="4" borderId="50" xfId="0" applyFont="1" applyFill="1" applyBorder="1" applyAlignment="1" applyProtection="1">
      <alignment horizontal="center" vertical="center" wrapText="1"/>
      <protection locked="0"/>
    </xf>
    <xf numFmtId="0" fontId="18" fillId="4" borderId="47" xfId="0" applyFont="1" applyFill="1" applyBorder="1" applyAlignment="1" applyProtection="1">
      <alignment horizontal="center" vertical="center" wrapText="1"/>
      <protection locked="0"/>
    </xf>
    <xf numFmtId="176" fontId="18" fillId="4" borderId="39" xfId="2" applyFont="1" applyFill="1" applyBorder="1" applyAlignment="1" applyProtection="1">
      <alignment horizontal="center" vertical="center" wrapText="1"/>
      <protection locked="0"/>
    </xf>
    <xf numFmtId="0" fontId="18" fillId="4" borderId="7" xfId="0" applyFont="1" applyFill="1" applyBorder="1" applyAlignment="1" applyProtection="1">
      <alignment horizontal="center" vertical="center" wrapText="1"/>
      <protection locked="0"/>
    </xf>
    <xf numFmtId="0" fontId="18" fillId="4" borderId="39" xfId="0" applyFont="1" applyFill="1" applyBorder="1" applyAlignment="1" applyProtection="1">
      <alignment horizontal="center" vertical="center" wrapText="1"/>
      <protection locked="0"/>
    </xf>
    <xf numFmtId="0" fontId="18" fillId="4" borderId="49" xfId="0" applyFont="1" applyFill="1" applyBorder="1" applyAlignment="1" applyProtection="1">
      <alignment horizontal="center" vertical="center" wrapText="1"/>
      <protection locked="0"/>
    </xf>
    <xf numFmtId="1" fontId="3" fillId="0" borderId="50" xfId="0" applyNumberFormat="1" applyFont="1" applyBorder="1" applyAlignment="1" applyProtection="1">
      <alignment horizontal="center" vertical="center" wrapText="1"/>
      <protection locked="0"/>
    </xf>
    <xf numFmtId="0" fontId="3" fillId="0" borderId="28" xfId="0" applyNumberFormat="1" applyFont="1" applyBorder="1" applyAlignment="1" applyProtection="1">
      <alignment horizontal="center" vertical="center" wrapText="1"/>
      <protection locked="0"/>
    </xf>
    <xf numFmtId="2" fontId="18" fillId="4" borderId="47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0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1" fontId="18" fillId="0" borderId="0" xfId="0" applyNumberFormat="1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181" fontId="18" fillId="0" borderId="0" xfId="0" applyNumberFormat="1" applyFont="1" applyAlignment="1" applyProtection="1">
      <protection locked="0"/>
    </xf>
    <xf numFmtId="0" fontId="3" fillId="0" borderId="49" xfId="0" applyFont="1" applyBorder="1" applyAlignment="1" applyProtection="1">
      <alignment horizontal="center" vertical="center" wrapText="1"/>
      <protection locked="0"/>
    </xf>
    <xf numFmtId="0" fontId="3" fillId="0" borderId="49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 wrapText="1"/>
      <protection locked="0"/>
    </xf>
    <xf numFmtId="20" fontId="3" fillId="0" borderId="42" xfId="0" applyNumberFormat="1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/>
      <protection locked="0"/>
    </xf>
    <xf numFmtId="186" fontId="22" fillId="0" borderId="5" xfId="0" applyNumberFormat="1" applyFont="1" applyBorder="1" applyAlignment="1" applyProtection="1">
      <alignment horizontal="left" vertical="center"/>
      <protection locked="0"/>
    </xf>
    <xf numFmtId="186" fontId="22" fillId="0" borderId="6" xfId="0" applyNumberFormat="1" applyFont="1" applyBorder="1" applyAlignment="1" applyProtection="1">
      <alignment horizontal="left" vertical="center"/>
      <protection locked="0"/>
    </xf>
    <xf numFmtId="0" fontId="19" fillId="0" borderId="0" xfId="0" applyFont="1" applyProtection="1">
      <protection locked="0"/>
    </xf>
    <xf numFmtId="0" fontId="18" fillId="0" borderId="0" xfId="0" applyFont="1" applyAlignment="1" applyProtection="1">
      <alignment horizontal="left"/>
      <protection locked="0"/>
    </xf>
    <xf numFmtId="0" fontId="18" fillId="0" borderId="29" xfId="7" applyFont="1" applyBorder="1" applyAlignment="1" applyProtection="1">
      <alignment vertical="center"/>
      <protection locked="0"/>
    </xf>
    <xf numFmtId="0" fontId="18" fillId="0" borderId="12" xfId="7" applyFont="1" applyBorder="1" applyAlignment="1" applyProtection="1">
      <alignment vertical="center"/>
      <protection locked="0"/>
    </xf>
    <xf numFmtId="0" fontId="18" fillId="0" borderId="5" xfId="7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18" fillId="18" borderId="15" xfId="0" applyNumberFormat="1" applyFont="1" applyFill="1" applyBorder="1" applyAlignment="1" applyProtection="1">
      <alignment horizontal="center" vertical="center"/>
      <protection locked="0"/>
    </xf>
    <xf numFmtId="15" fontId="18" fillId="5" borderId="49" xfId="0" applyNumberFormat="1" applyFont="1" applyFill="1" applyBorder="1" applyAlignment="1" applyProtection="1">
      <alignment horizontal="center" vertical="center"/>
      <protection locked="0"/>
    </xf>
    <xf numFmtId="20" fontId="18" fillId="5" borderId="46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81" fontId="12" fillId="19" borderId="3" xfId="0" applyNumberFormat="1" applyFont="1" applyFill="1" applyBorder="1" applyAlignment="1" applyProtection="1">
      <protection locked="0"/>
    </xf>
    <xf numFmtId="181" fontId="12" fillId="19" borderId="31" xfId="0" applyNumberFormat="1" applyFont="1" applyFill="1" applyBorder="1" applyAlignment="1" applyProtection="1">
      <protection locked="0"/>
    </xf>
    <xf numFmtId="181" fontId="12" fillId="19" borderId="1" xfId="0" applyNumberFormat="1" applyFont="1" applyFill="1" applyBorder="1" applyAlignment="1" applyProtection="1">
      <protection locked="0"/>
    </xf>
    <xf numFmtId="184" fontId="3" fillId="0" borderId="20" xfId="0" applyNumberFormat="1" applyFont="1" applyBorder="1" applyAlignment="1" applyProtection="1">
      <alignment horizontal="center" vertical="center" wrapText="1"/>
    </xf>
    <xf numFmtId="184" fontId="3" fillId="0" borderId="28" xfId="0" applyNumberFormat="1" applyFont="1" applyBorder="1" applyAlignment="1" applyProtection="1">
      <alignment horizontal="center" vertical="center" wrapText="1"/>
    </xf>
    <xf numFmtId="181" fontId="3" fillId="0" borderId="36" xfId="0" applyNumberFormat="1" applyFont="1" applyBorder="1" applyAlignment="1" applyProtection="1">
      <alignment horizontal="center" vertical="center"/>
    </xf>
    <xf numFmtId="181" fontId="15" fillId="0" borderId="2" xfId="0" applyNumberFormat="1" applyFont="1" applyBorder="1" applyAlignment="1" applyProtection="1">
      <alignment horizontal="center"/>
      <protection locked="0"/>
    </xf>
    <xf numFmtId="181" fontId="15" fillId="0" borderId="2" xfId="5" applyNumberFormat="1" applyFont="1" applyBorder="1" applyAlignment="1" applyProtection="1">
      <alignment horizontal="center" vertical="center"/>
      <protection locked="0"/>
    </xf>
    <xf numFmtId="181" fontId="15" fillId="0" borderId="2" xfId="8" applyNumberFormat="1" applyFont="1" applyBorder="1" applyAlignment="1" applyProtection="1">
      <alignment horizontal="center" vertical="center"/>
      <protection locked="0"/>
    </xf>
    <xf numFmtId="2" fontId="12" fillId="19" borderId="2" xfId="0" applyNumberFormat="1" applyFont="1" applyFill="1" applyBorder="1" applyAlignment="1" applyProtection="1">
      <alignment horizontal="center"/>
      <protection locked="0"/>
    </xf>
    <xf numFmtId="181" fontId="12" fillId="19" borderId="31" xfId="0" applyNumberFormat="1" applyFont="1" applyFill="1" applyBorder="1" applyAlignment="1" applyProtection="1">
      <alignment horizontal="center" vertical="center"/>
      <protection locked="0"/>
    </xf>
    <xf numFmtId="1" fontId="12" fillId="19" borderId="2" xfId="0" applyNumberFormat="1" applyFont="1" applyFill="1" applyBorder="1" applyAlignment="1" applyProtection="1">
      <alignment horizontal="center"/>
      <protection locked="0"/>
    </xf>
    <xf numFmtId="0" fontId="40" fillId="7" borderId="2" xfId="0" applyFont="1" applyFill="1" applyBorder="1" applyAlignment="1" applyProtection="1">
      <protection locked="0"/>
    </xf>
    <xf numFmtId="0" fontId="40" fillId="20" borderId="2" xfId="0" applyFont="1" applyFill="1" applyBorder="1" applyAlignment="1" applyProtection="1">
      <protection locked="0"/>
    </xf>
    <xf numFmtId="0" fontId="0" fillId="0" borderId="0" xfId="0" applyBorder="1" applyProtection="1">
      <protection locked="0"/>
    </xf>
    <xf numFmtId="181" fontId="3" fillId="0" borderId="13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 applyProtection="1">
      <alignment horizontal="center" vertical="center" wrapText="1"/>
    </xf>
    <xf numFmtId="181" fontId="12" fillId="18" borderId="2" xfId="0" applyNumberFormat="1" applyFont="1" applyFill="1" applyBorder="1" applyAlignment="1" applyProtection="1">
      <alignment horizontal="center"/>
      <protection locked="0"/>
    </xf>
    <xf numFmtId="181" fontId="0" fillId="0" borderId="2" xfId="0" applyNumberFormat="1" applyBorder="1" applyProtection="1">
      <protection locked="0"/>
    </xf>
    <xf numFmtId="181" fontId="12" fillId="18" borderId="2" xfId="0" applyNumberFormat="1" applyFont="1" applyFill="1" applyBorder="1" applyAlignment="1" applyProtection="1">
      <alignment horizontal="center" vertical="center"/>
      <protection locked="0"/>
    </xf>
    <xf numFmtId="184" fontId="3" fillId="0" borderId="47" xfId="0" applyNumberFormat="1" applyFont="1" applyBorder="1" applyAlignment="1" applyProtection="1">
      <alignment horizontal="center" vertical="center" wrapText="1"/>
    </xf>
    <xf numFmtId="184" fontId="3" fillId="0" borderId="26" xfId="0" applyNumberFormat="1" applyFont="1" applyBorder="1" applyAlignment="1" applyProtection="1">
      <alignment horizontal="center" vertical="center" wrapText="1"/>
    </xf>
    <xf numFmtId="184" fontId="3" fillId="0" borderId="21" xfId="0" applyNumberFormat="1" applyFont="1" applyBorder="1" applyAlignment="1" applyProtection="1">
      <alignment horizontal="center" vertical="center" wrapText="1"/>
    </xf>
    <xf numFmtId="20" fontId="3" fillId="21" borderId="28" xfId="0" applyNumberFormat="1" applyFont="1" applyFill="1" applyBorder="1" applyAlignment="1" applyProtection="1">
      <alignment horizontal="center" vertical="center"/>
      <protection locked="0"/>
    </xf>
    <xf numFmtId="14" fontId="3" fillId="21" borderId="28" xfId="0" applyNumberFormat="1" applyFont="1" applyFill="1" applyBorder="1" applyAlignment="1" applyProtection="1">
      <alignment horizontal="center" vertical="center"/>
      <protection locked="0"/>
    </xf>
    <xf numFmtId="181" fontId="3" fillId="21" borderId="28" xfId="0" applyNumberFormat="1" applyFont="1" applyFill="1" applyBorder="1" applyAlignment="1" applyProtection="1">
      <alignment horizontal="center" vertical="center" wrapText="1"/>
      <protection locked="0"/>
    </xf>
    <xf numFmtId="20" fontId="3" fillId="21" borderId="28" xfId="0" applyNumberFormat="1" applyFont="1" applyFill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1" fontId="3" fillId="21" borderId="2" xfId="0" applyNumberFormat="1" applyFont="1" applyFill="1" applyBorder="1" applyAlignment="1" applyProtection="1">
      <alignment horizontal="center" vertical="center"/>
      <protection locked="0"/>
    </xf>
    <xf numFmtId="181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181" fontId="3" fillId="21" borderId="2" xfId="0" applyNumberFormat="1" applyFont="1" applyFill="1" applyBorder="1" applyAlignment="1" applyProtection="1">
      <alignment horizontal="center" vertical="center"/>
      <protection locked="0"/>
    </xf>
    <xf numFmtId="181" fontId="3" fillId="0" borderId="13" xfId="0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1" fontId="3" fillId="21" borderId="14" xfId="0" applyNumberFormat="1" applyFont="1" applyFill="1" applyBorder="1" applyAlignment="1" applyProtection="1">
      <alignment horizontal="center" vertical="center"/>
      <protection locked="0"/>
    </xf>
    <xf numFmtId="1" fontId="3" fillId="0" borderId="14" xfId="0" applyNumberFormat="1" applyFont="1" applyBorder="1" applyAlignment="1" applyProtection="1">
      <alignment horizontal="center" vertical="center"/>
      <protection locked="0"/>
    </xf>
    <xf numFmtId="0" fontId="3" fillId="0" borderId="52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" fontId="23" fillId="21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0" fontId="4" fillId="12" borderId="42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5" fontId="9" fillId="0" borderId="8" xfId="6" applyNumberFormat="1" applyFont="1" applyBorder="1" applyAlignment="1">
      <alignment horizontal="left"/>
    </xf>
    <xf numFmtId="15" fontId="9" fillId="0" borderId="60" xfId="6" applyNumberFormat="1" applyFont="1" applyBorder="1" applyAlignment="1">
      <alignment horizontal="left"/>
    </xf>
    <xf numFmtId="15" fontId="9" fillId="0" borderId="10" xfId="6" applyNumberFormat="1" applyFont="1" applyBorder="1" applyAlignment="1">
      <alignment horizontal="left"/>
    </xf>
    <xf numFmtId="15" fontId="9" fillId="0" borderId="12" xfId="6" applyNumberFormat="1" applyFont="1" applyBorder="1" applyAlignment="1">
      <alignment horizontal="left"/>
    </xf>
    <xf numFmtId="15" fontId="9" fillId="0" borderId="2" xfId="6" applyNumberFormat="1" applyFont="1" applyBorder="1" applyAlignment="1">
      <alignment horizontal="left"/>
    </xf>
    <xf numFmtId="15" fontId="9" fillId="0" borderId="13" xfId="6" applyNumberFormat="1" applyFont="1" applyBorder="1" applyAlignment="1">
      <alignment horizontal="left"/>
    </xf>
    <xf numFmtId="179" fontId="9" fillId="0" borderId="51" xfId="4" applyNumberFormat="1" applyFont="1" applyBorder="1" applyAlignment="1" applyProtection="1">
      <alignment horizontal="left" vertical="center"/>
    </xf>
    <xf numFmtId="179" fontId="9" fillId="0" borderId="14" xfId="4" applyNumberFormat="1" applyFont="1" applyBorder="1" applyAlignment="1" applyProtection="1">
      <alignment horizontal="left" vertical="center"/>
    </xf>
    <xf numFmtId="179" fontId="9" fillId="0" borderId="52" xfId="4" applyNumberFormat="1" applyFont="1" applyBorder="1" applyAlignment="1" applyProtection="1">
      <alignment horizontal="left" vertical="center"/>
    </xf>
    <xf numFmtId="179" fontId="9" fillId="0" borderId="50" xfId="4" applyNumberFormat="1" applyFont="1" applyBorder="1" applyAlignment="1" applyProtection="1">
      <alignment horizontal="left" vertical="center"/>
    </xf>
    <xf numFmtId="179" fontId="9" fillId="0" borderId="59" xfId="4" applyNumberFormat="1" applyFont="1" applyBorder="1" applyAlignment="1" applyProtection="1">
      <alignment horizontal="left" vertical="center"/>
    </xf>
    <xf numFmtId="179" fontId="9" fillId="0" borderId="38" xfId="4" applyNumberFormat="1" applyFont="1" applyBorder="1" applyAlignment="1" applyProtection="1">
      <alignment horizontal="left" vertical="center"/>
    </xf>
    <xf numFmtId="15" fontId="9" fillId="0" borderId="42" xfId="6" applyNumberFormat="1" applyFont="1" applyBorder="1" applyAlignment="1">
      <alignment horizontal="left" vertical="center" wrapText="1"/>
    </xf>
    <xf numFmtId="15" fontId="9" fillId="0" borderId="43" xfId="6" applyNumberFormat="1" applyFont="1" applyBorder="1" applyAlignment="1">
      <alignment horizontal="left" vertical="center" wrapText="1"/>
    </xf>
    <xf numFmtId="15" fontId="9" fillId="0" borderId="39" xfId="6" applyNumberFormat="1" applyFont="1" applyBorder="1" applyAlignment="1">
      <alignment horizontal="left" vertical="center" wrapText="1"/>
    </xf>
    <xf numFmtId="15" fontId="16" fillId="0" borderId="42" xfId="6" applyNumberFormat="1" applyFont="1" applyBorder="1" applyAlignment="1">
      <alignment horizontal="left" vertical="center" wrapText="1"/>
    </xf>
    <xf numFmtId="15" fontId="16" fillId="0" borderId="39" xfId="6" applyNumberFormat="1" applyFont="1" applyBorder="1" applyAlignment="1">
      <alignment horizontal="left" vertical="center" wrapText="1"/>
    </xf>
    <xf numFmtId="15" fontId="16" fillId="0" borderId="43" xfId="6" applyNumberFormat="1" applyFont="1" applyBorder="1" applyAlignment="1">
      <alignment horizontal="left" vertical="center" wrapText="1"/>
    </xf>
    <xf numFmtId="1" fontId="16" fillId="0" borderId="44" xfId="6" applyNumberFormat="1" applyFont="1" applyBorder="1" applyAlignment="1">
      <alignment horizontal="center" vertical="center" wrapText="1"/>
    </xf>
    <xf numFmtId="1" fontId="16" fillId="0" borderId="45" xfId="6" applyNumberFormat="1" applyFont="1" applyBorder="1" applyAlignment="1">
      <alignment horizontal="center" vertical="center" wrapText="1"/>
    </xf>
    <xf numFmtId="1" fontId="16" fillId="0" borderId="41" xfId="6" applyNumberFormat="1" applyFont="1" applyBorder="1" applyAlignment="1">
      <alignment horizontal="center" vertical="center" wrapText="1"/>
    </xf>
    <xf numFmtId="15" fontId="16" fillId="0" borderId="44" xfId="6" applyNumberFormat="1" applyFont="1" applyBorder="1" applyAlignment="1">
      <alignment horizontal="center" vertical="center" wrapText="1"/>
    </xf>
    <xf numFmtId="15" fontId="16" fillId="0" borderId="41" xfId="6" applyNumberFormat="1" applyFont="1" applyBorder="1" applyAlignment="1">
      <alignment horizontal="center" vertical="center" wrapText="1"/>
    </xf>
    <xf numFmtId="15" fontId="16" fillId="0" borderId="43" xfId="6" applyNumberFormat="1" applyFont="1" applyBorder="1" applyAlignment="1">
      <alignment horizontal="center" vertical="top" wrapText="1"/>
    </xf>
    <xf numFmtId="0" fontId="9" fillId="0" borderId="50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37" fillId="0" borderId="59" xfId="0" applyFont="1" applyBorder="1"/>
    <xf numFmtId="0" fontId="37" fillId="0" borderId="38" xfId="0" applyFont="1" applyBorder="1"/>
    <xf numFmtId="0" fontId="22" fillId="0" borderId="1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0" fillId="0" borderId="34" xfId="0" applyBorder="1"/>
    <xf numFmtId="0" fontId="22" fillId="0" borderId="25" xfId="0" applyFont="1" applyBorder="1" applyAlignment="1">
      <alignment horizontal="center" vertical="center"/>
    </xf>
    <xf numFmtId="0" fontId="0" fillId="0" borderId="54" xfId="0" applyBorder="1"/>
    <xf numFmtId="0" fontId="9" fillId="0" borderId="8" xfId="0" applyFont="1" applyFill="1" applyBorder="1" applyAlignment="1">
      <alignment horizontal="left" vertical="center"/>
    </xf>
    <xf numFmtId="0" fontId="9" fillId="0" borderId="60" xfId="0" applyFont="1" applyFill="1" applyBorder="1" applyAlignment="1">
      <alignment horizontal="left" vertical="center"/>
    </xf>
    <xf numFmtId="186" fontId="25" fillId="0" borderId="2" xfId="0" applyNumberFormat="1" applyFont="1" applyBorder="1" applyAlignment="1">
      <alignment horizontal="center" vertical="center"/>
    </xf>
    <xf numFmtId="186" fontId="25" fillId="0" borderId="13" xfId="0" applyNumberFormat="1" applyFont="1" applyBorder="1" applyAlignment="1">
      <alignment horizontal="center" vertical="center"/>
    </xf>
    <xf numFmtId="186" fontId="25" fillId="0" borderId="3" xfId="0" applyNumberFormat="1" applyFont="1" applyBorder="1" applyAlignment="1">
      <alignment horizontal="center" vertical="center"/>
    </xf>
    <xf numFmtId="0" fontId="0" fillId="0" borderId="53" xfId="0" applyBorder="1"/>
    <xf numFmtId="0" fontId="9" fillId="0" borderId="1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186" fontId="22" fillId="0" borderId="12" xfId="0" applyNumberFormat="1" applyFont="1" applyBorder="1" applyAlignment="1">
      <alignment horizontal="left" vertical="center"/>
    </xf>
    <xf numFmtId="186" fontId="22" fillId="0" borderId="2" xfId="0" applyNumberFormat="1" applyFont="1" applyBorder="1" applyAlignment="1">
      <alignment horizontal="left" vertical="center"/>
    </xf>
    <xf numFmtId="186" fontId="25" fillId="0" borderId="23" xfId="0" applyNumberFormat="1" applyFont="1" applyBorder="1" applyAlignment="1">
      <alignment horizontal="center" vertical="center"/>
    </xf>
    <xf numFmtId="186" fontId="25" fillId="0" borderId="36" xfId="0" applyNumberFormat="1" applyFont="1" applyBorder="1" applyAlignment="1">
      <alignment horizontal="center" vertical="center"/>
    </xf>
    <xf numFmtId="13" fontId="25" fillId="0" borderId="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11" fillId="0" borderId="35" xfId="5" applyNumberFormat="1" applyFont="1" applyBorder="1" applyAlignment="1">
      <alignment horizontal="center" vertical="center"/>
    </xf>
    <xf numFmtId="0" fontId="11" fillId="0" borderId="34" xfId="5" applyNumberFormat="1" applyFont="1" applyBorder="1" applyAlignment="1">
      <alignment horizontal="center" vertical="center"/>
    </xf>
    <xf numFmtId="20" fontId="11" fillId="0" borderId="35" xfId="0" applyNumberFormat="1" applyFont="1" applyBorder="1" applyAlignment="1">
      <alignment horizontal="center" vertical="center"/>
    </xf>
    <xf numFmtId="183" fontId="11" fillId="0" borderId="35" xfId="4" applyNumberFormat="1" applyFont="1" applyBorder="1" applyAlignment="1" applyProtection="1">
      <alignment horizontal="center" vertical="center"/>
    </xf>
    <xf numFmtId="181" fontId="11" fillId="0" borderId="35" xfId="0" applyNumberFormat="1" applyFont="1" applyBorder="1" applyAlignment="1">
      <alignment horizontal="center" vertical="center"/>
    </xf>
    <xf numFmtId="181" fontId="11" fillId="0" borderId="34" xfId="0" applyNumberFormat="1" applyFont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181" fontId="11" fillId="0" borderId="54" xfId="0" applyNumberFormat="1" applyFont="1" applyBorder="1" applyAlignment="1">
      <alignment horizontal="center" vertical="center"/>
    </xf>
    <xf numFmtId="0" fontId="13" fillId="7" borderId="32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4" fillId="0" borderId="50" xfId="6" applyFont="1" applyBorder="1" applyAlignment="1">
      <alignment horizontal="center"/>
    </xf>
    <xf numFmtId="0" fontId="24" fillId="0" borderId="59" xfId="6" applyFont="1" applyBorder="1" applyAlignment="1">
      <alignment horizontal="center"/>
    </xf>
    <xf numFmtId="0" fontId="24" fillId="0" borderId="38" xfId="6" applyFont="1" applyBorder="1" applyAlignment="1">
      <alignment horizontal="center"/>
    </xf>
    <xf numFmtId="0" fontId="18" fillId="0" borderId="50" xfId="6" applyFont="1" applyBorder="1" applyAlignment="1">
      <alignment horizontal="center"/>
    </xf>
    <xf numFmtId="0" fontId="18" fillId="0" borderId="59" xfId="6" applyFont="1" applyBorder="1" applyAlignment="1">
      <alignment horizontal="center"/>
    </xf>
    <xf numFmtId="0" fontId="18" fillId="0" borderId="38" xfId="6" applyFont="1" applyBorder="1" applyAlignment="1">
      <alignment horizontal="center"/>
    </xf>
    <xf numFmtId="0" fontId="18" fillId="0" borderId="29" xfId="6" applyFont="1" applyBorder="1" applyAlignment="1">
      <alignment horizontal="left"/>
    </xf>
    <xf numFmtId="0" fontId="18" fillId="0" borderId="56" xfId="6" applyFont="1" applyBorder="1" applyAlignment="1">
      <alignment horizontal="left"/>
    </xf>
    <xf numFmtId="0" fontId="18" fillId="0" borderId="16" xfId="6" applyFont="1" applyBorder="1" applyAlignment="1">
      <alignment horizontal="center"/>
    </xf>
    <xf numFmtId="0" fontId="18" fillId="0" borderId="56" xfId="6" applyFont="1" applyBorder="1" applyAlignment="1">
      <alignment horizontal="center"/>
    </xf>
    <xf numFmtId="0" fontId="18" fillId="0" borderId="57" xfId="6" applyFont="1" applyBorder="1" applyAlignment="1">
      <alignment horizontal="center"/>
    </xf>
    <xf numFmtId="0" fontId="18" fillId="0" borderId="58" xfId="6" applyFont="1" applyBorder="1" applyAlignment="1">
      <alignment horizontal="left"/>
    </xf>
    <xf numFmtId="0" fontId="6" fillId="0" borderId="4" xfId="6" applyFont="1" applyBorder="1" applyAlignment="1">
      <alignment horizontal="center"/>
    </xf>
    <xf numFmtId="0" fontId="6" fillId="0" borderId="37" xfId="6" applyFont="1" applyBorder="1" applyAlignment="1">
      <alignment horizontal="center"/>
    </xf>
    <xf numFmtId="0" fontId="18" fillId="0" borderId="3" xfId="6" applyFont="1" applyBorder="1" applyAlignment="1">
      <alignment horizontal="center"/>
    </xf>
    <xf numFmtId="0" fontId="18" fillId="0" borderId="31" xfId="6" applyFont="1" applyBorder="1" applyAlignment="1">
      <alignment horizontal="center"/>
    </xf>
    <xf numFmtId="0" fontId="18" fillId="0" borderId="53" xfId="6" applyFont="1" applyBorder="1" applyAlignment="1">
      <alignment horizontal="center"/>
    </xf>
    <xf numFmtId="0" fontId="18" fillId="0" borderId="30" xfId="6" applyFont="1" applyBorder="1" applyAlignment="1">
      <alignment horizontal="left"/>
    </xf>
    <xf numFmtId="0" fontId="18" fillId="0" borderId="31" xfId="6" applyFont="1" applyBorder="1" applyAlignment="1">
      <alignment horizontal="left"/>
    </xf>
    <xf numFmtId="0" fontId="18" fillId="0" borderId="1" xfId="6" applyFont="1" applyBorder="1" applyAlignment="1">
      <alignment horizontal="left"/>
    </xf>
    <xf numFmtId="0" fontId="6" fillId="0" borderId="2" xfId="6" applyFont="1" applyBorder="1" applyAlignment="1">
      <alignment horizontal="center"/>
    </xf>
    <xf numFmtId="0" fontId="6" fillId="0" borderId="13" xfId="6" applyFont="1" applyBorder="1" applyAlignment="1">
      <alignment horizontal="center"/>
    </xf>
    <xf numFmtId="15" fontId="18" fillId="0" borderId="22" xfId="6" applyNumberFormat="1" applyFont="1" applyBorder="1" applyAlignment="1">
      <alignment horizontal="center"/>
    </xf>
    <xf numFmtId="0" fontId="18" fillId="0" borderId="33" xfId="6" applyFont="1" applyBorder="1" applyAlignment="1">
      <alignment horizontal="center"/>
    </xf>
    <xf numFmtId="0" fontId="18" fillId="0" borderId="55" xfId="6" applyFont="1" applyBorder="1" applyAlignment="1">
      <alignment horizontal="center"/>
    </xf>
    <xf numFmtId="0" fontId="18" fillId="0" borderId="32" xfId="6" applyFont="1" applyBorder="1" applyAlignment="1">
      <alignment horizontal="left"/>
    </xf>
    <xf numFmtId="0" fontId="18" fillId="0" borderId="33" xfId="6" applyFont="1" applyBorder="1" applyAlignment="1">
      <alignment horizontal="left"/>
    </xf>
    <xf numFmtId="0" fontId="18" fillId="0" borderId="23" xfId="6" applyFont="1" applyBorder="1" applyAlignment="1">
      <alignment horizontal="left"/>
    </xf>
    <xf numFmtId="0" fontId="6" fillId="0" borderId="6" xfId="6" applyFont="1" applyBorder="1" applyAlignment="1">
      <alignment horizontal="center"/>
    </xf>
    <xf numFmtId="0" fontId="6" fillId="0" borderId="36" xfId="6" applyFont="1" applyBorder="1" applyAlignment="1">
      <alignment horizontal="center"/>
    </xf>
    <xf numFmtId="15" fontId="7" fillId="0" borderId="42" xfId="6" applyNumberFormat="1" applyFont="1" applyBorder="1" applyAlignment="1">
      <alignment horizontal="center"/>
    </xf>
    <xf numFmtId="15" fontId="7" fillId="0" borderId="43" xfId="6" applyNumberFormat="1" applyFont="1" applyBorder="1" applyAlignment="1">
      <alignment horizontal="center"/>
    </xf>
    <xf numFmtId="15" fontId="7" fillId="0" borderId="39" xfId="6" applyNumberFormat="1" applyFont="1" applyBorder="1" applyAlignment="1">
      <alignment horizontal="center"/>
    </xf>
    <xf numFmtId="15" fontId="7" fillId="0" borderId="11" xfId="6" applyNumberFormat="1" applyFont="1" applyBorder="1" applyAlignment="1">
      <alignment horizontal="center"/>
    </xf>
    <xf numFmtId="15" fontId="7" fillId="0" borderId="0" xfId="6" applyNumberFormat="1" applyFont="1" applyBorder="1" applyAlignment="1">
      <alignment horizontal="center"/>
    </xf>
    <xf numFmtId="15" fontId="7" fillId="0" borderId="40" xfId="6" applyNumberFormat="1" applyFont="1" applyBorder="1" applyAlignment="1">
      <alignment horizontal="center"/>
    </xf>
    <xf numFmtId="15" fontId="7" fillId="0" borderId="44" xfId="6" applyNumberFormat="1" applyFont="1" applyBorder="1" applyAlignment="1">
      <alignment horizontal="center"/>
    </xf>
    <xf numFmtId="15" fontId="7" fillId="0" borderId="45" xfId="6" applyNumberFormat="1" applyFont="1" applyBorder="1" applyAlignment="1">
      <alignment horizontal="center"/>
    </xf>
    <xf numFmtId="15" fontId="7" fillId="0" borderId="41" xfId="6" applyNumberFormat="1" applyFont="1" applyBorder="1" applyAlignment="1">
      <alignment horizontal="center"/>
    </xf>
    <xf numFmtId="15" fontId="9" fillId="0" borderId="42" xfId="6" applyNumberFormat="1" applyFont="1" applyBorder="1" applyAlignment="1">
      <alignment horizontal="left" vertical="top" wrapText="1"/>
    </xf>
    <xf numFmtId="15" fontId="9" fillId="0" borderId="43" xfId="6" applyNumberFormat="1" applyFont="1" applyBorder="1" applyAlignment="1">
      <alignment horizontal="left" vertical="top" wrapText="1"/>
    </xf>
    <xf numFmtId="15" fontId="9" fillId="0" borderId="39" xfId="6" applyNumberFormat="1" applyFont="1" applyBorder="1" applyAlignment="1">
      <alignment horizontal="left" vertical="top" wrapText="1"/>
    </xf>
    <xf numFmtId="15" fontId="9" fillId="0" borderId="44" xfId="6" applyNumberFormat="1" applyFont="1" applyBorder="1" applyAlignment="1">
      <alignment horizontal="left" vertical="top" wrapText="1"/>
    </xf>
    <xf numFmtId="15" fontId="9" fillId="0" borderId="45" xfId="6" applyNumberFormat="1" applyFont="1" applyBorder="1" applyAlignment="1">
      <alignment horizontal="left" vertical="top" wrapText="1"/>
    </xf>
    <xf numFmtId="15" fontId="9" fillId="0" borderId="41" xfId="6" applyNumberFormat="1" applyFont="1" applyBorder="1" applyAlignment="1">
      <alignment horizontal="left" vertical="top" wrapText="1"/>
    </xf>
    <xf numFmtId="0" fontId="18" fillId="0" borderId="42" xfId="6" applyFont="1" applyBorder="1" applyAlignment="1">
      <alignment horizontal="center" vertical="center"/>
    </xf>
    <xf numFmtId="0" fontId="18" fillId="0" borderId="43" xfId="6" applyFont="1" applyBorder="1" applyAlignment="1">
      <alignment horizontal="center" vertical="center"/>
    </xf>
    <xf numFmtId="0" fontId="18" fillId="0" borderId="39" xfId="6" applyFont="1" applyBorder="1" applyAlignment="1">
      <alignment horizontal="center" vertical="center"/>
    </xf>
    <xf numFmtId="0" fontId="18" fillId="0" borderId="44" xfId="6" applyFont="1" applyBorder="1" applyAlignment="1">
      <alignment horizontal="center" vertical="center"/>
    </xf>
    <xf numFmtId="0" fontId="18" fillId="0" borderId="45" xfId="6" applyFont="1" applyBorder="1" applyAlignment="1">
      <alignment horizontal="center" vertical="center"/>
    </xf>
    <xf numFmtId="0" fontId="18" fillId="0" borderId="41" xfId="6" applyFont="1" applyBorder="1" applyAlignment="1">
      <alignment horizontal="center" vertical="center"/>
    </xf>
    <xf numFmtId="15" fontId="8" fillId="0" borderId="42" xfId="6" applyNumberFormat="1" applyFont="1" applyBorder="1" applyAlignment="1">
      <alignment horizontal="center" vertical="center" wrapText="1"/>
    </xf>
    <xf numFmtId="15" fontId="8" fillId="0" borderId="43" xfId="6" applyNumberFormat="1" applyFont="1" applyBorder="1" applyAlignment="1">
      <alignment horizontal="center" vertical="center" wrapText="1"/>
    </xf>
    <xf numFmtId="15" fontId="8" fillId="0" borderId="39" xfId="6" applyNumberFormat="1" applyFont="1" applyBorder="1" applyAlignment="1">
      <alignment horizontal="center" vertical="center" wrapText="1"/>
    </xf>
    <xf numFmtId="15" fontId="8" fillId="0" borderId="11" xfId="6" applyNumberFormat="1" applyFont="1" applyBorder="1" applyAlignment="1">
      <alignment horizontal="center" vertical="center" wrapText="1"/>
    </xf>
    <xf numFmtId="15" fontId="8" fillId="0" borderId="0" xfId="6" applyNumberFormat="1" applyFont="1" applyBorder="1" applyAlignment="1">
      <alignment horizontal="center" vertical="center" wrapText="1"/>
    </xf>
    <xf numFmtId="15" fontId="8" fillId="0" borderId="40" xfId="6" applyNumberFormat="1" applyFont="1" applyBorder="1" applyAlignment="1">
      <alignment horizontal="center" vertical="center" wrapText="1"/>
    </xf>
    <xf numFmtId="15" fontId="8" fillId="0" borderId="44" xfId="6" applyNumberFormat="1" applyFont="1" applyBorder="1" applyAlignment="1">
      <alignment horizontal="center" vertical="center" wrapText="1"/>
    </xf>
    <xf numFmtId="15" fontId="8" fillId="0" borderId="45" xfId="6" applyNumberFormat="1" applyFont="1" applyBorder="1" applyAlignment="1">
      <alignment horizontal="center" vertical="center" wrapText="1"/>
    </xf>
    <xf numFmtId="15" fontId="8" fillId="0" borderId="41" xfId="6" applyNumberFormat="1" applyFont="1" applyBorder="1" applyAlignment="1">
      <alignment horizontal="center" vertical="center" wrapText="1"/>
    </xf>
    <xf numFmtId="0" fontId="18" fillId="0" borderId="25" xfId="6" applyFont="1" applyBorder="1" applyAlignment="1">
      <alignment horizontal="center"/>
    </xf>
    <xf numFmtId="0" fontId="18" fillId="0" borderId="35" xfId="6" applyFont="1" applyBorder="1" applyAlignment="1">
      <alignment horizontal="center"/>
    </xf>
    <xf numFmtId="0" fontId="18" fillId="0" borderId="54" xfId="6" applyFont="1" applyBorder="1" applyAlignment="1">
      <alignment horizontal="center"/>
    </xf>
    <xf numFmtId="1" fontId="18" fillId="5" borderId="42" xfId="0" applyNumberFormat="1" applyFont="1" applyFill="1" applyBorder="1" applyAlignment="1" applyProtection="1">
      <alignment horizontal="center" vertical="top"/>
      <protection locked="0"/>
    </xf>
    <xf numFmtId="1" fontId="18" fillId="5" borderId="39" xfId="0" applyNumberFormat="1" applyFont="1" applyFill="1" applyBorder="1" applyAlignment="1" applyProtection="1">
      <alignment horizontal="center" vertical="top"/>
      <protection locked="0"/>
    </xf>
    <xf numFmtId="49" fontId="18" fillId="18" borderId="44" xfId="0" applyNumberFormat="1" applyFont="1" applyFill="1" applyBorder="1" applyAlignment="1" applyProtection="1">
      <alignment horizontal="center" vertical="center"/>
      <protection locked="0"/>
    </xf>
    <xf numFmtId="49" fontId="18" fillId="18" borderId="41" xfId="0" applyNumberFormat="1" applyFont="1" applyFill="1" applyBorder="1" applyAlignment="1" applyProtection="1">
      <alignment horizontal="center" vertical="center"/>
      <protection locked="0"/>
    </xf>
    <xf numFmtId="0" fontId="18" fillId="0" borderId="25" xfId="7" applyFont="1" applyBorder="1" applyAlignment="1" applyProtection="1">
      <alignment horizontal="center" vertical="center"/>
      <protection locked="0"/>
    </xf>
    <xf numFmtId="0" fontId="18" fillId="0" borderId="35" xfId="7" applyFont="1" applyBorder="1" applyAlignment="1" applyProtection="1">
      <alignment horizontal="center" vertical="center"/>
      <protection locked="0"/>
    </xf>
    <xf numFmtId="0" fontId="18" fillId="0" borderId="54" xfId="7" applyFont="1" applyBorder="1" applyAlignment="1" applyProtection="1">
      <alignment horizontal="center" vertical="center"/>
      <protection locked="0"/>
    </xf>
    <xf numFmtId="0" fontId="18" fillId="0" borderId="24" xfId="7" applyFont="1" applyBorder="1" applyAlignment="1" applyProtection="1">
      <alignment vertical="center"/>
      <protection locked="0"/>
    </xf>
    <xf numFmtId="0" fontId="18" fillId="0" borderId="34" xfId="7" applyFont="1" applyBorder="1" applyAlignment="1" applyProtection="1">
      <alignment vertical="center"/>
      <protection locked="0"/>
    </xf>
    <xf numFmtId="0" fontId="18" fillId="0" borderId="25" xfId="7" applyFont="1" applyBorder="1" applyAlignment="1" applyProtection="1">
      <alignment vertical="center"/>
      <protection locked="0"/>
    </xf>
    <xf numFmtId="0" fontId="18" fillId="0" borderId="35" xfId="7" applyFont="1" applyBorder="1" applyAlignment="1" applyProtection="1">
      <alignment vertical="center"/>
      <protection locked="0"/>
    </xf>
    <xf numFmtId="0" fontId="18" fillId="0" borderId="54" xfId="7" applyFont="1" applyBorder="1" applyAlignment="1" applyProtection="1">
      <alignment vertical="center"/>
      <protection locked="0"/>
    </xf>
    <xf numFmtId="0" fontId="6" fillId="0" borderId="25" xfId="7" applyFont="1" applyBorder="1" applyAlignment="1" applyProtection="1">
      <alignment vertical="center"/>
      <protection locked="0"/>
    </xf>
    <xf numFmtId="0" fontId="6" fillId="0" borderId="35" xfId="7" applyFont="1" applyBorder="1" applyAlignment="1" applyProtection="1">
      <alignment vertical="center"/>
      <protection locked="0"/>
    </xf>
    <xf numFmtId="0" fontId="6" fillId="0" borderId="54" xfId="7" applyFont="1" applyBorder="1" applyAlignment="1" applyProtection="1">
      <alignment vertical="center"/>
      <protection locked="0"/>
    </xf>
    <xf numFmtId="0" fontId="18" fillId="4" borderId="50" xfId="0" applyFont="1" applyFill="1" applyBorder="1" applyAlignment="1" applyProtection="1">
      <alignment horizontal="center" vertical="center" wrapText="1"/>
      <protection locked="0"/>
    </xf>
    <xf numFmtId="0" fontId="18" fillId="4" borderId="59" xfId="0" applyFont="1" applyFill="1" applyBorder="1" applyAlignment="1" applyProtection="1">
      <alignment horizontal="center" vertical="center" wrapText="1"/>
      <protection locked="0"/>
    </xf>
    <xf numFmtId="0" fontId="18" fillId="4" borderId="38" xfId="0" applyFont="1" applyFill="1" applyBorder="1" applyAlignment="1" applyProtection="1">
      <alignment horizontal="center" vertical="center" wrapText="1"/>
      <protection locked="0"/>
    </xf>
    <xf numFmtId="3" fontId="3" fillId="0" borderId="20" xfId="0" applyNumberFormat="1" applyFont="1" applyBorder="1" applyAlignment="1" applyProtection="1">
      <alignment horizontal="center" vertical="center" wrapText="1"/>
    </xf>
    <xf numFmtId="3" fontId="3" fillId="0" borderId="59" xfId="0" applyNumberFormat="1" applyFont="1" applyBorder="1" applyAlignment="1" applyProtection="1">
      <alignment horizontal="center" vertical="center" wrapText="1"/>
    </xf>
    <xf numFmtId="3" fontId="3" fillId="0" borderId="26" xfId="0" applyNumberFormat="1" applyFont="1" applyBorder="1" applyAlignment="1" applyProtection="1">
      <alignment horizontal="center" vertical="center" wrapText="1"/>
    </xf>
    <xf numFmtId="185" fontId="21" fillId="0" borderId="50" xfId="0" applyNumberFormat="1" applyFont="1" applyBorder="1" applyAlignment="1" applyProtection="1">
      <alignment horizontal="center" vertical="center" wrapText="1"/>
      <protection locked="0"/>
    </xf>
    <xf numFmtId="185" fontId="21" fillId="0" borderId="59" xfId="0" applyNumberFormat="1" applyFont="1" applyBorder="1" applyAlignment="1" applyProtection="1">
      <alignment horizontal="center" vertical="center" wrapText="1"/>
      <protection locked="0"/>
    </xf>
    <xf numFmtId="185" fontId="21" fillId="0" borderId="38" xfId="0" applyNumberFormat="1" applyFont="1" applyBorder="1" applyAlignment="1" applyProtection="1">
      <alignment horizontal="center" vertical="center" wrapText="1"/>
      <protection locked="0"/>
    </xf>
    <xf numFmtId="0" fontId="22" fillId="23" borderId="50" xfId="0" applyFont="1" applyFill="1" applyBorder="1" applyAlignment="1" applyProtection="1">
      <alignment horizontal="center" vertical="center"/>
      <protection locked="0"/>
    </xf>
    <xf numFmtId="0" fontId="22" fillId="23" borderId="59" xfId="0" applyFont="1" applyFill="1" applyBorder="1" applyAlignment="1" applyProtection="1">
      <alignment horizontal="center" vertical="center"/>
      <protection locked="0"/>
    </xf>
    <xf numFmtId="0" fontId="22" fillId="23" borderId="38" xfId="0" applyFont="1" applyFill="1" applyBorder="1" applyAlignment="1" applyProtection="1">
      <alignment horizontal="center" vertical="center"/>
      <protection locked="0"/>
    </xf>
    <xf numFmtId="187" fontId="3" fillId="24" borderId="50" xfId="0" applyNumberFormat="1" applyFont="1" applyFill="1" applyBorder="1" applyAlignment="1" applyProtection="1">
      <alignment horizontal="center" vertical="center" wrapText="1"/>
      <protection locked="0"/>
    </xf>
    <xf numFmtId="187" fontId="3" fillId="24" borderId="59" xfId="0" applyNumberFormat="1" applyFont="1" applyFill="1" applyBorder="1" applyAlignment="1" applyProtection="1">
      <alignment horizontal="center" vertical="center" wrapText="1"/>
      <protection locked="0"/>
    </xf>
    <xf numFmtId="187" fontId="3" fillId="24" borderId="38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43" xfId="0" applyFont="1" applyBorder="1" applyAlignment="1" applyProtection="1">
      <alignment horizontal="center" vertical="center"/>
      <protection locked="0"/>
    </xf>
    <xf numFmtId="0" fontId="18" fillId="0" borderId="30" xfId="7" applyFont="1" applyBorder="1" applyAlignment="1" applyProtection="1">
      <alignment vertical="center"/>
      <protection locked="0"/>
    </xf>
    <xf numFmtId="0" fontId="18" fillId="0" borderId="1" xfId="7" applyFont="1" applyBorder="1" applyAlignment="1" applyProtection="1">
      <alignment vertical="center"/>
      <protection locked="0"/>
    </xf>
    <xf numFmtId="0" fontId="6" fillId="0" borderId="3" xfId="7" applyFont="1" applyBorder="1" applyAlignment="1" applyProtection="1">
      <alignment vertical="center"/>
      <protection locked="0"/>
    </xf>
    <xf numFmtId="0" fontId="6" fillId="0" borderId="31" xfId="7" applyFont="1" applyBorder="1" applyAlignment="1" applyProtection="1">
      <alignment vertical="center"/>
      <protection locked="0"/>
    </xf>
    <xf numFmtId="0" fontId="6" fillId="0" borderId="53" xfId="7" applyFont="1" applyBorder="1" applyAlignment="1" applyProtection="1">
      <alignment vertical="center"/>
      <protection locked="0"/>
    </xf>
    <xf numFmtId="0" fontId="18" fillId="0" borderId="3" xfId="7" applyFont="1" applyBorder="1" applyAlignment="1" applyProtection="1">
      <alignment vertical="center"/>
      <protection locked="0"/>
    </xf>
    <xf numFmtId="0" fontId="18" fillId="0" borderId="31" xfId="7" applyFont="1" applyBorder="1" applyAlignment="1" applyProtection="1">
      <alignment vertical="center"/>
      <protection locked="0"/>
    </xf>
    <xf numFmtId="0" fontId="18" fillId="0" borderId="53" xfId="7" applyFont="1" applyBorder="1" applyAlignment="1" applyProtection="1">
      <alignment vertical="center"/>
      <protection locked="0"/>
    </xf>
    <xf numFmtId="14" fontId="18" fillId="0" borderId="22" xfId="7" applyNumberFormat="1" applyFont="1" applyBorder="1" applyAlignment="1" applyProtection="1">
      <alignment horizontal="center" vertical="center"/>
      <protection locked="0"/>
    </xf>
    <xf numFmtId="14" fontId="18" fillId="0" borderId="33" xfId="7" applyNumberFormat="1" applyFont="1" applyBorder="1" applyAlignment="1" applyProtection="1">
      <alignment horizontal="center" vertical="center"/>
      <protection locked="0"/>
    </xf>
    <xf numFmtId="14" fontId="18" fillId="0" borderId="55" xfId="7" applyNumberFormat="1" applyFont="1" applyBorder="1" applyAlignment="1" applyProtection="1">
      <alignment horizontal="center" vertical="center"/>
      <protection locked="0"/>
    </xf>
    <xf numFmtId="0" fontId="18" fillId="0" borderId="32" xfId="7" applyFont="1" applyBorder="1" applyAlignment="1" applyProtection="1">
      <alignment vertical="center"/>
      <protection locked="0"/>
    </xf>
    <xf numFmtId="0" fontId="18" fillId="0" borderId="23" xfId="7" applyFont="1" applyBorder="1" applyAlignment="1" applyProtection="1">
      <alignment vertical="center"/>
      <protection locked="0"/>
    </xf>
    <xf numFmtId="15" fontId="18" fillId="0" borderId="22" xfId="7" applyNumberFormat="1" applyFont="1" applyBorder="1" applyAlignment="1" applyProtection="1">
      <alignment horizontal="center" vertical="center"/>
      <protection locked="0"/>
    </xf>
    <xf numFmtId="15" fontId="18" fillId="0" borderId="33" xfId="7" applyNumberFormat="1" applyFont="1" applyBorder="1" applyAlignment="1" applyProtection="1">
      <alignment horizontal="center" vertical="center"/>
      <protection locked="0"/>
    </xf>
    <xf numFmtId="15" fontId="18" fillId="0" borderId="55" xfId="7" applyNumberFormat="1" applyFont="1" applyBorder="1" applyAlignment="1" applyProtection="1">
      <alignment horizontal="center" vertical="center"/>
      <protection locked="0"/>
    </xf>
    <xf numFmtId="0" fontId="6" fillId="0" borderId="22" xfId="7" applyFont="1" applyBorder="1" applyAlignment="1" applyProtection="1">
      <alignment vertical="center"/>
      <protection locked="0"/>
    </xf>
    <xf numFmtId="0" fontId="6" fillId="0" borderId="33" xfId="7" applyFont="1" applyBorder="1" applyAlignment="1" applyProtection="1">
      <alignment vertical="center"/>
      <protection locked="0"/>
    </xf>
    <xf numFmtId="0" fontId="6" fillId="0" borderId="55" xfId="7" applyFont="1" applyBorder="1" applyAlignment="1" applyProtection="1">
      <alignment vertical="center"/>
      <protection locked="0"/>
    </xf>
    <xf numFmtId="0" fontId="18" fillId="5" borderId="49" xfId="0" applyFont="1" applyFill="1" applyBorder="1" applyAlignment="1" applyProtection="1">
      <alignment horizontal="center" vertical="center"/>
      <protection locked="0"/>
    </xf>
    <xf numFmtId="0" fontId="18" fillId="5" borderId="46" xfId="0" applyFont="1" applyFill="1" applyBorder="1" applyAlignment="1" applyProtection="1">
      <alignment horizontal="center" vertical="center"/>
      <protection locked="0"/>
    </xf>
    <xf numFmtId="0" fontId="18" fillId="18" borderId="49" xfId="0" applyNumberFormat="1" applyFont="1" applyFill="1" applyBorder="1" applyAlignment="1" applyProtection="1">
      <alignment horizontal="center" vertical="center" wrapText="1"/>
      <protection locked="0"/>
    </xf>
    <xf numFmtId="0" fontId="18" fillId="18" borderId="46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" xfId="7" applyFont="1" applyBorder="1" applyAlignment="1" applyProtection="1">
      <alignment horizontal="center" vertical="center"/>
      <protection locked="0"/>
    </xf>
    <xf numFmtId="0" fontId="18" fillId="0" borderId="31" xfId="7" applyFont="1" applyBorder="1" applyAlignment="1" applyProtection="1">
      <alignment horizontal="center" vertical="center"/>
      <protection locked="0"/>
    </xf>
    <xf numFmtId="0" fontId="18" fillId="0" borderId="53" xfId="7" applyFont="1" applyBorder="1" applyAlignment="1" applyProtection="1">
      <alignment horizontal="center" vertical="center"/>
      <protection locked="0"/>
    </xf>
    <xf numFmtId="0" fontId="19" fillId="0" borderId="42" xfId="0" applyFont="1" applyBorder="1" applyAlignment="1" applyProtection="1">
      <alignment horizontal="center" vertical="center"/>
      <protection locked="0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0" fontId="19" fillId="0" borderId="44" xfId="0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center" vertical="center"/>
      <protection locked="0"/>
    </xf>
    <xf numFmtId="0" fontId="19" fillId="0" borderId="41" xfId="0" applyFont="1" applyBorder="1" applyAlignment="1" applyProtection="1">
      <alignment horizontal="center" vertical="center"/>
      <protection locked="0"/>
    </xf>
    <xf numFmtId="0" fontId="18" fillId="0" borderId="42" xfId="7" applyFont="1" applyBorder="1" applyAlignment="1" applyProtection="1">
      <alignment horizontal="center" vertical="center"/>
      <protection locked="0"/>
    </xf>
    <xf numFmtId="0" fontId="18" fillId="0" borderId="43" xfId="7" applyFont="1" applyBorder="1" applyAlignment="1" applyProtection="1">
      <alignment horizontal="center" vertical="center"/>
      <protection locked="0"/>
    </xf>
    <xf numFmtId="0" fontId="18" fillId="0" borderId="39" xfId="7" applyFont="1" applyBorder="1" applyAlignment="1" applyProtection="1">
      <alignment horizontal="center" vertical="center"/>
      <protection locked="0"/>
    </xf>
    <xf numFmtId="0" fontId="18" fillId="0" borderId="44" xfId="7" applyFont="1" applyBorder="1" applyAlignment="1" applyProtection="1">
      <alignment horizontal="center" vertical="center"/>
      <protection locked="0"/>
    </xf>
    <xf numFmtId="0" fontId="18" fillId="0" borderId="45" xfId="7" applyFont="1" applyBorder="1" applyAlignment="1" applyProtection="1">
      <alignment horizontal="center" vertical="center"/>
      <protection locked="0"/>
    </xf>
    <xf numFmtId="0" fontId="18" fillId="0" borderId="41" xfId="7" applyFont="1" applyBorder="1" applyAlignment="1" applyProtection="1">
      <alignment horizontal="center" vertical="center"/>
      <protection locked="0"/>
    </xf>
    <xf numFmtId="15" fontId="7" fillId="0" borderId="42" xfId="7" applyNumberFormat="1" applyFont="1" applyBorder="1" applyAlignment="1" applyProtection="1">
      <alignment horizontal="center" vertical="center" wrapText="1"/>
      <protection locked="0"/>
    </xf>
    <xf numFmtId="15" fontId="7" fillId="0" borderId="43" xfId="7" applyNumberFormat="1" applyFont="1" applyBorder="1" applyAlignment="1" applyProtection="1">
      <alignment horizontal="center" vertical="center" wrapText="1"/>
      <protection locked="0"/>
    </xf>
    <xf numFmtId="15" fontId="7" fillId="0" borderId="39" xfId="7" applyNumberFormat="1" applyFont="1" applyBorder="1" applyAlignment="1" applyProtection="1">
      <alignment horizontal="center" vertical="center" wrapText="1"/>
      <protection locked="0"/>
    </xf>
    <xf numFmtId="15" fontId="7" fillId="0" borderId="11" xfId="7" applyNumberFormat="1" applyFont="1" applyBorder="1" applyAlignment="1" applyProtection="1">
      <alignment horizontal="center" vertical="center" wrapText="1"/>
      <protection locked="0"/>
    </xf>
    <xf numFmtId="15" fontId="7" fillId="0" borderId="0" xfId="7" applyNumberFormat="1" applyFont="1" applyAlignment="1" applyProtection="1">
      <alignment horizontal="center" vertical="center" wrapText="1"/>
      <protection locked="0"/>
    </xf>
    <xf numFmtId="15" fontId="7" fillId="0" borderId="40" xfId="7" applyNumberFormat="1" applyFont="1" applyBorder="1" applyAlignment="1" applyProtection="1">
      <alignment horizontal="center" vertical="center" wrapText="1"/>
      <protection locked="0"/>
    </xf>
    <xf numFmtId="15" fontId="7" fillId="0" borderId="44" xfId="7" applyNumberFormat="1" applyFont="1" applyBorder="1" applyAlignment="1" applyProtection="1">
      <alignment horizontal="center" vertical="center" wrapText="1"/>
      <protection locked="0"/>
    </xf>
    <xf numFmtId="15" fontId="7" fillId="0" borderId="45" xfId="7" applyNumberFormat="1" applyFont="1" applyBorder="1" applyAlignment="1" applyProtection="1">
      <alignment horizontal="center" vertical="center" wrapText="1"/>
      <protection locked="0"/>
    </xf>
    <xf numFmtId="15" fontId="7" fillId="0" borderId="41" xfId="7" applyNumberFormat="1" applyFont="1" applyBorder="1" applyAlignment="1" applyProtection="1">
      <alignment horizontal="center" vertical="center" wrapText="1"/>
      <protection locked="0"/>
    </xf>
    <xf numFmtId="0" fontId="18" fillId="5" borderId="42" xfId="0" applyFont="1" applyFill="1" applyBorder="1" applyAlignment="1" applyProtection="1">
      <alignment horizontal="center" vertical="center"/>
      <protection locked="0"/>
    </xf>
    <xf numFmtId="0" fontId="18" fillId="5" borderId="43" xfId="0" applyFont="1" applyFill="1" applyBorder="1" applyAlignment="1" applyProtection="1">
      <alignment horizontal="center" vertical="center"/>
      <protection locked="0"/>
    </xf>
    <xf numFmtId="0" fontId="18" fillId="5" borderId="39" xfId="0" applyFont="1" applyFill="1" applyBorder="1" applyAlignment="1" applyProtection="1">
      <alignment horizontal="center" vertical="center"/>
      <protection locked="0"/>
    </xf>
    <xf numFmtId="0" fontId="18" fillId="5" borderId="44" xfId="0" applyFont="1" applyFill="1" applyBorder="1" applyAlignment="1" applyProtection="1">
      <alignment horizontal="center" vertical="center"/>
      <protection locked="0"/>
    </xf>
    <xf numFmtId="0" fontId="18" fillId="5" borderId="45" xfId="0" applyFont="1" applyFill="1" applyBorder="1" applyAlignment="1" applyProtection="1">
      <alignment horizontal="center" vertical="center"/>
      <protection locked="0"/>
    </xf>
    <xf numFmtId="0" fontId="18" fillId="5" borderId="41" xfId="0" applyFont="1" applyFill="1" applyBorder="1" applyAlignment="1" applyProtection="1">
      <alignment horizontal="center" vertical="center"/>
      <protection locked="0"/>
    </xf>
    <xf numFmtId="0" fontId="9" fillId="0" borderId="30" xfId="0" applyFont="1" applyFill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 applyProtection="1">
      <alignment horizontal="left" vertical="center"/>
      <protection locked="0"/>
    </xf>
    <xf numFmtId="0" fontId="24" fillId="0" borderId="50" xfId="7" applyFont="1" applyBorder="1" applyAlignment="1" applyProtection="1">
      <alignment horizontal="center" vertical="center"/>
      <protection locked="0"/>
    </xf>
    <xf numFmtId="0" fontId="24" fillId="0" borderId="59" xfId="7" applyFont="1" applyBorder="1" applyAlignment="1" applyProtection="1">
      <alignment horizontal="center" vertical="center"/>
      <protection locked="0"/>
    </xf>
    <xf numFmtId="0" fontId="24" fillId="0" borderId="38" xfId="7" applyFont="1" applyBorder="1" applyAlignment="1" applyProtection="1">
      <alignment horizontal="center" vertical="center"/>
      <protection locked="0"/>
    </xf>
    <xf numFmtId="0" fontId="18" fillId="0" borderId="50" xfId="7" applyFont="1" applyBorder="1" applyAlignment="1" applyProtection="1">
      <alignment horizontal="center" vertical="center"/>
      <protection locked="0"/>
    </xf>
    <xf numFmtId="0" fontId="18" fillId="0" borderId="59" xfId="7" applyFont="1" applyBorder="1" applyAlignment="1" applyProtection="1">
      <alignment horizontal="center" vertical="center"/>
      <protection locked="0"/>
    </xf>
    <xf numFmtId="0" fontId="18" fillId="0" borderId="38" xfId="7" applyFont="1" applyBorder="1" applyAlignment="1" applyProtection="1">
      <alignment horizontal="center" vertical="center"/>
      <protection locked="0"/>
    </xf>
    <xf numFmtId="0" fontId="9" fillId="0" borderId="24" xfId="0" applyFont="1" applyFill="1" applyBorder="1" applyAlignment="1" applyProtection="1">
      <alignment horizontal="left" vertical="center"/>
      <protection locked="0"/>
    </xf>
    <xf numFmtId="0" fontId="9" fillId="0" borderId="34" xfId="0" applyFont="1" applyFill="1" applyBorder="1" applyAlignment="1" applyProtection="1">
      <alignment horizontal="left" vertical="center"/>
      <protection locked="0"/>
    </xf>
    <xf numFmtId="0" fontId="4" fillId="22" borderId="8" xfId="0" applyFont="1" applyFill="1" applyBorder="1" applyAlignment="1" applyProtection="1">
      <alignment horizontal="center"/>
      <protection locked="0"/>
    </xf>
    <xf numFmtId="0" fontId="0" fillId="0" borderId="35" xfId="0" applyBorder="1" applyProtection="1">
      <protection locked="0"/>
    </xf>
    <xf numFmtId="0" fontId="0" fillId="0" borderId="34" xfId="0" applyBorder="1" applyProtection="1">
      <protection locked="0"/>
    </xf>
    <xf numFmtId="15" fontId="16" fillId="0" borderId="48" xfId="7" applyNumberFormat="1" applyFont="1" applyBorder="1" applyProtection="1">
      <protection locked="0"/>
    </xf>
    <xf numFmtId="15" fontId="16" fillId="0" borderId="61" xfId="7" applyNumberFormat="1" applyFont="1" applyBorder="1" applyProtection="1">
      <protection locked="0"/>
    </xf>
    <xf numFmtId="15" fontId="16" fillId="0" borderId="62" xfId="7" applyNumberFormat="1" applyFont="1" applyBorder="1" applyProtection="1">
      <protection locked="0"/>
    </xf>
    <xf numFmtId="15" fontId="16" fillId="0" borderId="19" xfId="7" applyNumberFormat="1" applyFont="1" applyBorder="1" applyProtection="1">
      <protection locked="0"/>
    </xf>
    <xf numFmtId="15" fontId="16" fillId="0" borderId="28" xfId="7" applyNumberFormat="1" applyFont="1" applyBorder="1" applyProtection="1">
      <protection locked="0"/>
    </xf>
    <xf numFmtId="15" fontId="16" fillId="0" borderId="21" xfId="7" applyNumberFormat="1" applyFont="1" applyBorder="1" applyProtection="1">
      <protection locked="0"/>
    </xf>
    <xf numFmtId="179" fontId="16" fillId="0" borderId="63" xfId="4" applyNumberFormat="1" applyFont="1" applyBorder="1" applyAlignment="1" applyProtection="1">
      <alignment vertical="center"/>
      <protection locked="0"/>
    </xf>
    <xf numFmtId="179" fontId="16" fillId="0" borderId="18" xfId="4" applyNumberFormat="1" applyFont="1" applyBorder="1" applyAlignment="1" applyProtection="1">
      <alignment vertical="center"/>
      <protection locked="0"/>
    </xf>
    <xf numFmtId="179" fontId="16" fillId="0" borderId="64" xfId="4" applyNumberFormat="1" applyFont="1" applyBorder="1" applyAlignment="1" applyProtection="1">
      <alignment vertical="center"/>
      <protection locked="0"/>
    </xf>
    <xf numFmtId="179" fontId="16" fillId="0" borderId="50" xfId="4" applyNumberFormat="1" applyFont="1" applyBorder="1" applyAlignment="1" applyProtection="1">
      <alignment vertical="center"/>
      <protection locked="0"/>
    </xf>
    <xf numFmtId="179" fontId="16" fillId="0" borderId="59" xfId="4" applyNumberFormat="1" applyFont="1" applyBorder="1" applyAlignment="1" applyProtection="1">
      <alignment vertical="center"/>
      <protection locked="0"/>
    </xf>
    <xf numFmtId="179" fontId="16" fillId="0" borderId="38" xfId="4" applyNumberFormat="1" applyFont="1" applyBorder="1" applyAlignment="1" applyProtection="1">
      <alignment vertical="center"/>
      <protection locked="0"/>
    </xf>
    <xf numFmtId="0" fontId="18" fillId="5" borderId="11" xfId="0" applyFont="1" applyFill="1" applyBorder="1" applyAlignment="1" applyProtection="1">
      <alignment horizontal="center" vertical="center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20" fillId="0" borderId="50" xfId="0" applyFont="1" applyBorder="1" applyAlignment="1" applyProtection="1">
      <alignment horizontal="center" vertical="center"/>
      <protection locked="0"/>
    </xf>
    <xf numFmtId="0" fontId="20" fillId="0" borderId="59" xfId="0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horizontal="center" vertical="center"/>
      <protection locked="0"/>
    </xf>
    <xf numFmtId="0" fontId="18" fillId="2" borderId="59" xfId="0" applyFont="1" applyFill="1" applyBorder="1" applyAlignment="1" applyProtection="1">
      <alignment horizontal="center" vertical="center"/>
      <protection locked="0"/>
    </xf>
    <xf numFmtId="0" fontId="18" fillId="2" borderId="38" xfId="0" applyFont="1" applyFill="1" applyBorder="1" applyAlignment="1" applyProtection="1">
      <alignment horizontal="center" vertical="center"/>
      <protection locked="0"/>
    </xf>
    <xf numFmtId="0" fontId="18" fillId="5" borderId="50" xfId="0" applyFont="1" applyFill="1" applyBorder="1" applyAlignment="1" applyProtection="1">
      <alignment horizontal="center" vertical="center" wrapText="1"/>
      <protection locked="0"/>
    </xf>
    <xf numFmtId="0" fontId="18" fillId="5" borderId="59" xfId="0" applyFont="1" applyFill="1" applyBorder="1" applyAlignment="1" applyProtection="1">
      <alignment horizontal="center" vertical="center" wrapText="1"/>
      <protection locked="0"/>
    </xf>
    <xf numFmtId="0" fontId="18" fillId="5" borderId="38" xfId="0" applyFont="1" applyFill="1" applyBorder="1" applyAlignment="1" applyProtection="1">
      <alignment horizontal="center" vertical="center" wrapText="1"/>
      <protection locked="0"/>
    </xf>
    <xf numFmtId="49" fontId="18" fillId="5" borderId="50" xfId="0" applyNumberFormat="1" applyFont="1" applyFill="1" applyBorder="1" applyAlignment="1" applyProtection="1">
      <alignment horizontal="center" vertical="center"/>
      <protection locked="0"/>
    </xf>
    <xf numFmtId="0" fontId="18" fillId="5" borderId="59" xfId="0" applyFont="1" applyFill="1" applyBorder="1" applyAlignment="1" applyProtection="1">
      <alignment horizontal="center" vertical="center"/>
      <protection locked="0"/>
    </xf>
    <xf numFmtId="0" fontId="18" fillId="5" borderId="38" xfId="0" applyFont="1" applyFill="1" applyBorder="1" applyAlignment="1" applyProtection="1">
      <alignment horizontal="center" vertical="center"/>
      <protection locked="0"/>
    </xf>
    <xf numFmtId="0" fontId="7" fillId="0" borderId="16" xfId="0" applyFont="1" applyFill="1" applyBorder="1" applyAlignment="1" applyProtection="1">
      <alignment horizontal="center" vertical="center"/>
      <protection locked="0"/>
    </xf>
    <xf numFmtId="0" fontId="7" fillId="0" borderId="56" xfId="0" applyFont="1" applyFill="1" applyBorder="1" applyAlignment="1" applyProtection="1">
      <alignment horizontal="center" vertical="center"/>
      <protection locked="0"/>
    </xf>
    <xf numFmtId="0" fontId="7" fillId="0" borderId="58" xfId="0" applyFont="1" applyFill="1" applyBorder="1" applyAlignment="1" applyProtection="1">
      <alignment horizontal="center" vertical="center"/>
      <protection locked="0"/>
    </xf>
    <xf numFmtId="181" fontId="11" fillId="0" borderId="3" xfId="0" applyNumberFormat="1" applyFont="1" applyBorder="1" applyAlignment="1" applyProtection="1">
      <alignment horizontal="center" vertical="center"/>
      <protection locked="0"/>
    </xf>
    <xf numFmtId="181" fontId="11" fillId="0" borderId="31" xfId="0" applyNumberFormat="1" applyFont="1" applyBorder="1" applyAlignment="1" applyProtection="1">
      <alignment horizontal="center" vertical="center"/>
      <protection locked="0"/>
    </xf>
    <xf numFmtId="181" fontId="11" fillId="0" borderId="1" xfId="0" applyNumberFormat="1" applyFont="1" applyBorder="1" applyAlignment="1" applyProtection="1">
      <alignment horizontal="center" vertical="center"/>
      <protection locked="0"/>
    </xf>
    <xf numFmtId="181" fontId="11" fillId="0" borderId="16" xfId="0" applyNumberFormat="1" applyFont="1" applyBorder="1" applyAlignment="1" applyProtection="1">
      <alignment horizontal="center" vertical="center"/>
      <protection locked="0"/>
    </xf>
    <xf numFmtId="181" fontId="11" fillId="0" borderId="56" xfId="0" applyNumberFormat="1" applyFont="1" applyBorder="1" applyAlignment="1" applyProtection="1">
      <alignment horizontal="center" vertical="center"/>
      <protection locked="0"/>
    </xf>
    <xf numFmtId="181" fontId="11" fillId="0" borderId="58" xfId="0" applyNumberFormat="1" applyFont="1" applyBorder="1" applyAlignment="1" applyProtection="1">
      <alignment horizontal="center" vertical="center"/>
      <protection locked="0"/>
    </xf>
    <xf numFmtId="15" fontId="16" fillId="0" borderId="50" xfId="6" applyNumberFormat="1" applyFont="1" applyBorder="1" applyAlignment="1" applyProtection="1">
      <alignment horizontal="center" vertical="center" wrapText="1"/>
      <protection locked="0"/>
    </xf>
    <xf numFmtId="15" fontId="16" fillId="0" borderId="59" xfId="6" applyNumberFormat="1" applyFont="1" applyBorder="1" applyAlignment="1" applyProtection="1">
      <alignment horizontal="center" vertical="center" wrapText="1"/>
      <protection locked="0"/>
    </xf>
    <xf numFmtId="15" fontId="16" fillId="0" borderId="38" xfId="6" applyNumberFormat="1" applyFont="1" applyBorder="1" applyAlignment="1" applyProtection="1">
      <alignment horizontal="center" vertical="center" wrapText="1"/>
      <protection locked="0"/>
    </xf>
    <xf numFmtId="49" fontId="16" fillId="0" borderId="50" xfId="6" applyNumberFormat="1" applyFont="1" applyBorder="1" applyAlignment="1" applyProtection="1">
      <alignment horizontal="center" vertical="center" wrapText="1"/>
      <protection locked="0"/>
    </xf>
    <xf numFmtId="49" fontId="16" fillId="0" borderId="59" xfId="6" applyNumberFormat="1" applyFont="1" applyBorder="1" applyAlignment="1" applyProtection="1">
      <alignment horizontal="center" vertical="center" wrapText="1"/>
      <protection locked="0"/>
    </xf>
    <xf numFmtId="49" fontId="16" fillId="0" borderId="38" xfId="6" applyNumberFormat="1" applyFont="1" applyBorder="1" applyAlignment="1" applyProtection="1">
      <alignment horizontal="center" vertical="center" wrapText="1"/>
      <protection locked="0"/>
    </xf>
    <xf numFmtId="0" fontId="7" fillId="0" borderId="3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5" fontId="16" fillId="0" borderId="50" xfId="7" applyNumberFormat="1" applyFont="1" applyBorder="1" applyAlignment="1" applyProtection="1">
      <alignment horizontal="center"/>
      <protection locked="0"/>
    </xf>
    <xf numFmtId="15" fontId="16" fillId="0" borderId="59" xfId="7" applyNumberFormat="1" applyFont="1" applyBorder="1" applyAlignment="1" applyProtection="1">
      <alignment horizontal="center"/>
      <protection locked="0"/>
    </xf>
    <xf numFmtId="15" fontId="16" fillId="0" borderId="38" xfId="7" applyNumberFormat="1" applyFont="1" applyBorder="1" applyAlignment="1" applyProtection="1">
      <alignment horizontal="center"/>
      <protection locked="0"/>
    </xf>
    <xf numFmtId="179" fontId="16" fillId="0" borderId="50" xfId="4" applyNumberFormat="1" applyFont="1" applyBorder="1" applyAlignment="1" applyProtection="1">
      <alignment horizontal="center" vertical="center"/>
      <protection locked="0"/>
    </xf>
    <xf numFmtId="179" fontId="16" fillId="0" borderId="59" xfId="4" applyNumberFormat="1" applyFont="1" applyBorder="1" applyAlignment="1" applyProtection="1">
      <alignment horizontal="center" vertical="center"/>
      <protection locked="0"/>
    </xf>
    <xf numFmtId="179" fontId="16" fillId="0" borderId="38" xfId="4" applyNumberFormat="1" applyFont="1" applyBorder="1" applyAlignment="1" applyProtection="1">
      <alignment horizontal="center" vertical="center"/>
      <protection locked="0"/>
    </xf>
    <xf numFmtId="15" fontId="16" fillId="0" borderId="42" xfId="6" applyNumberFormat="1" applyFont="1" applyBorder="1" applyAlignment="1" applyProtection="1">
      <alignment horizontal="left" vertical="center" wrapText="1"/>
      <protection locked="0"/>
    </xf>
    <xf numFmtId="15" fontId="16" fillId="0" borderId="39" xfId="6" applyNumberFormat="1" applyFont="1" applyBorder="1" applyAlignment="1" applyProtection="1">
      <alignment horizontal="left" vertical="center" wrapText="1"/>
      <protection locked="0"/>
    </xf>
    <xf numFmtId="0" fontId="0" fillId="0" borderId="65" xfId="0" applyBorder="1" applyAlignment="1" applyProtection="1">
      <alignment horizontal="center"/>
      <protection locked="0"/>
    </xf>
    <xf numFmtId="0" fontId="0" fillId="0" borderId="66" xfId="0" applyBorder="1" applyAlignment="1" applyProtection="1">
      <alignment horizontal="center"/>
      <protection locked="0"/>
    </xf>
    <xf numFmtId="0" fontId="0" fillId="0" borderId="67" xfId="0" applyBorder="1" applyAlignment="1" applyProtection="1">
      <alignment horizontal="center"/>
      <protection locked="0"/>
    </xf>
    <xf numFmtId="193" fontId="16" fillId="0" borderId="11" xfId="6" applyNumberFormat="1" applyFont="1" applyBorder="1" applyAlignment="1" applyProtection="1">
      <alignment horizontal="center" vertical="center" wrapText="1"/>
      <protection locked="0"/>
    </xf>
    <xf numFmtId="193" fontId="16" fillId="0" borderId="40" xfId="6" applyNumberFormat="1" applyFont="1" applyBorder="1" applyAlignment="1" applyProtection="1">
      <alignment horizontal="center" vertical="center" wrapText="1"/>
      <protection locked="0"/>
    </xf>
    <xf numFmtId="0" fontId="11" fillId="0" borderId="2" xfId="5" applyNumberFormat="1" applyFont="1" applyBorder="1" applyAlignment="1" applyProtection="1">
      <alignment horizontal="center" vertical="center"/>
      <protection locked="0"/>
    </xf>
    <xf numFmtId="20" fontId="11" fillId="0" borderId="2" xfId="0" applyNumberFormat="1" applyFont="1" applyBorder="1" applyAlignment="1" applyProtection="1">
      <alignment horizontal="center" vertical="center"/>
      <protection locked="0"/>
    </xf>
    <xf numFmtId="183" fontId="11" fillId="0" borderId="2" xfId="4" applyNumberFormat="1" applyFont="1" applyBorder="1" applyAlignment="1" applyProtection="1">
      <alignment horizontal="center" vertical="center"/>
      <protection locked="0"/>
    </xf>
    <xf numFmtId="181" fontId="11" fillId="0" borderId="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1" fontId="16" fillId="0" borderId="11" xfId="6" applyNumberFormat="1" applyFont="1" applyBorder="1" applyAlignment="1" applyProtection="1">
      <alignment horizontal="center" vertical="center" wrapText="1"/>
      <protection locked="0"/>
    </xf>
    <xf numFmtId="1" fontId="16" fillId="0" borderId="0" xfId="6" applyNumberFormat="1" applyFont="1" applyBorder="1" applyAlignment="1" applyProtection="1">
      <alignment horizontal="center" vertical="center" wrapText="1"/>
      <protection locked="0"/>
    </xf>
    <xf numFmtId="1" fontId="16" fillId="0" borderId="40" xfId="6" applyNumberFormat="1" applyFont="1" applyBorder="1" applyAlignment="1" applyProtection="1">
      <alignment horizontal="center" vertical="center" wrapText="1"/>
      <protection locked="0"/>
    </xf>
    <xf numFmtId="181" fontId="12" fillId="19" borderId="3" xfId="0" applyNumberFormat="1" applyFont="1" applyFill="1" applyBorder="1" applyAlignment="1" applyProtection="1">
      <alignment horizontal="center"/>
      <protection locked="0"/>
    </xf>
    <xf numFmtId="181" fontId="12" fillId="19" borderId="31" xfId="0" applyNumberFormat="1" applyFont="1" applyFill="1" applyBorder="1" applyAlignment="1" applyProtection="1">
      <alignment horizontal="center"/>
      <protection locked="0"/>
    </xf>
    <xf numFmtId="181" fontId="12" fillId="19" borderId="1" xfId="0" applyNumberFormat="1" applyFont="1" applyFill="1" applyBorder="1" applyAlignment="1" applyProtection="1">
      <alignment horizontal="center"/>
      <protection locked="0"/>
    </xf>
    <xf numFmtId="181" fontId="0" fillId="0" borderId="3" xfId="0" applyNumberFormat="1" applyBorder="1" applyAlignment="1" applyProtection="1">
      <alignment horizontal="center"/>
      <protection locked="0"/>
    </xf>
    <xf numFmtId="181" fontId="0" fillId="0" borderId="31" xfId="0" applyNumberFormat="1" applyBorder="1" applyAlignment="1" applyProtection="1">
      <alignment horizontal="center"/>
      <protection locked="0"/>
    </xf>
    <xf numFmtId="181" fontId="0" fillId="0" borderId="1" xfId="0" applyNumberFormat="1" applyBorder="1" applyAlignment="1" applyProtection="1">
      <alignment horizontal="center"/>
      <protection locked="0"/>
    </xf>
    <xf numFmtId="181" fontId="14" fillId="0" borderId="3" xfId="3" applyNumberFormat="1" applyFont="1" applyBorder="1" applyAlignment="1" applyProtection="1">
      <alignment horizontal="center" vertical="center"/>
      <protection locked="0"/>
    </xf>
    <xf numFmtId="181" fontId="14" fillId="0" borderId="31" xfId="3" applyNumberFormat="1" applyFont="1" applyBorder="1" applyAlignment="1" applyProtection="1">
      <alignment horizontal="center" vertical="center"/>
      <protection locked="0"/>
    </xf>
    <xf numFmtId="181" fontId="14" fillId="0" borderId="1" xfId="3" applyNumberFormat="1" applyFont="1" applyBorder="1" applyAlignment="1" applyProtection="1">
      <alignment horizontal="center" vertical="center"/>
      <protection locked="0"/>
    </xf>
    <xf numFmtId="0" fontId="40" fillId="8" borderId="3" xfId="0" applyFont="1" applyFill="1" applyBorder="1" applyAlignment="1" applyProtection="1">
      <alignment horizontal="center"/>
      <protection locked="0"/>
    </xf>
    <xf numFmtId="0" fontId="40" fillId="8" borderId="31" xfId="0" applyFont="1" applyFill="1" applyBorder="1" applyAlignment="1" applyProtection="1">
      <alignment horizontal="center"/>
      <protection locked="0"/>
    </xf>
    <xf numFmtId="0" fontId="40" fillId="8" borderId="1" xfId="0" applyFont="1" applyFill="1" applyBorder="1" applyAlignment="1" applyProtection="1">
      <alignment horizontal="center"/>
      <protection locked="0"/>
    </xf>
    <xf numFmtId="15" fontId="7" fillId="0" borderId="42" xfId="6" applyNumberFormat="1" applyFont="1" applyBorder="1" applyAlignment="1" applyProtection="1">
      <alignment horizontal="center"/>
      <protection locked="0"/>
    </xf>
    <xf numFmtId="15" fontId="7" fillId="0" borderId="43" xfId="6" applyNumberFormat="1" applyFont="1" applyBorder="1" applyAlignment="1" applyProtection="1">
      <alignment horizontal="center"/>
      <protection locked="0"/>
    </xf>
    <xf numFmtId="15" fontId="7" fillId="0" borderId="39" xfId="6" applyNumberFormat="1" applyFont="1" applyBorder="1" applyAlignment="1" applyProtection="1">
      <alignment horizontal="center"/>
      <protection locked="0"/>
    </xf>
    <xf numFmtId="15" fontId="7" fillId="0" borderId="11" xfId="6" applyNumberFormat="1" applyFont="1" applyBorder="1" applyAlignment="1" applyProtection="1">
      <alignment horizontal="center"/>
      <protection locked="0"/>
    </xf>
    <xf numFmtId="15" fontId="7" fillId="0" borderId="0" xfId="6" applyNumberFormat="1" applyFont="1" applyAlignment="1" applyProtection="1">
      <alignment horizontal="center"/>
      <protection locked="0"/>
    </xf>
    <xf numFmtId="15" fontId="7" fillId="0" borderId="40" xfId="6" applyNumberFormat="1" applyFont="1" applyBorder="1" applyAlignment="1" applyProtection="1">
      <alignment horizontal="center"/>
      <protection locked="0"/>
    </xf>
    <xf numFmtId="15" fontId="7" fillId="0" borderId="44" xfId="6" applyNumberFormat="1" applyFont="1" applyBorder="1" applyAlignment="1" applyProtection="1">
      <alignment horizontal="center"/>
      <protection locked="0"/>
    </xf>
    <xf numFmtId="15" fontId="7" fillId="0" borderId="45" xfId="6" applyNumberFormat="1" applyFont="1" applyBorder="1" applyAlignment="1" applyProtection="1">
      <alignment horizontal="center"/>
      <protection locked="0"/>
    </xf>
    <xf numFmtId="15" fontId="7" fillId="0" borderId="41" xfId="6" applyNumberFormat="1" applyFont="1" applyBorder="1" applyAlignment="1" applyProtection="1">
      <alignment horizontal="center"/>
      <protection locked="0"/>
    </xf>
    <xf numFmtId="15" fontId="9" fillId="0" borderId="42" xfId="6" applyNumberFormat="1" applyFont="1" applyBorder="1" applyAlignment="1" applyProtection="1">
      <alignment horizontal="left" vertical="top" wrapText="1"/>
      <protection locked="0"/>
    </xf>
    <xf numFmtId="15" fontId="9" fillId="0" borderId="43" xfId="6" applyNumberFormat="1" applyFont="1" applyBorder="1" applyAlignment="1" applyProtection="1">
      <alignment horizontal="left" vertical="top" wrapText="1"/>
      <protection locked="0"/>
    </xf>
    <xf numFmtId="15" fontId="9" fillId="0" borderId="39" xfId="6" applyNumberFormat="1" applyFont="1" applyBorder="1" applyAlignment="1" applyProtection="1">
      <alignment horizontal="left" vertical="top" wrapText="1"/>
      <protection locked="0"/>
    </xf>
    <xf numFmtId="15" fontId="9" fillId="0" borderId="11" xfId="6" applyNumberFormat="1" applyFont="1" applyBorder="1" applyAlignment="1" applyProtection="1">
      <alignment horizontal="left" vertical="top" wrapText="1"/>
      <protection locked="0"/>
    </xf>
    <xf numFmtId="15" fontId="9" fillId="0" borderId="0" xfId="6" applyNumberFormat="1" applyFont="1" applyBorder="1" applyAlignment="1" applyProtection="1">
      <alignment horizontal="left" vertical="top" wrapText="1"/>
      <protection locked="0"/>
    </xf>
    <xf numFmtId="15" fontId="9" fillId="0" borderId="40" xfId="6" applyNumberFormat="1" applyFont="1" applyBorder="1" applyAlignment="1" applyProtection="1">
      <alignment horizontal="left" vertical="top" wrapText="1"/>
      <protection locked="0"/>
    </xf>
    <xf numFmtId="0" fontId="40" fillId="7" borderId="2" xfId="0" applyFont="1" applyFill="1" applyBorder="1" applyAlignment="1" applyProtection="1">
      <alignment horizontal="center"/>
      <protection locked="0"/>
    </xf>
    <xf numFmtId="15" fontId="16" fillId="0" borderId="43" xfId="6" applyNumberFormat="1" applyFont="1" applyBorder="1" applyAlignment="1" applyProtection="1">
      <alignment horizontal="left" vertical="center" wrapText="1"/>
      <protection locked="0"/>
    </xf>
    <xf numFmtId="15" fontId="8" fillId="0" borderId="42" xfId="6" applyNumberFormat="1" applyFont="1" applyBorder="1" applyAlignment="1" applyProtection="1">
      <alignment horizontal="center" vertical="center" wrapText="1"/>
      <protection locked="0"/>
    </xf>
    <xf numFmtId="15" fontId="8" fillId="0" borderId="43" xfId="6" applyNumberFormat="1" applyFont="1" applyBorder="1" applyAlignment="1" applyProtection="1">
      <alignment horizontal="center" vertical="center" wrapText="1"/>
      <protection locked="0"/>
    </xf>
    <xf numFmtId="15" fontId="8" fillId="0" borderId="39" xfId="6" applyNumberFormat="1" applyFont="1" applyBorder="1" applyAlignment="1" applyProtection="1">
      <alignment horizontal="center" vertical="center" wrapText="1"/>
      <protection locked="0"/>
    </xf>
    <xf numFmtId="15" fontId="8" fillId="0" borderId="11" xfId="6" applyNumberFormat="1" applyFont="1" applyBorder="1" applyAlignment="1" applyProtection="1">
      <alignment horizontal="center" vertical="center" wrapText="1"/>
      <protection locked="0"/>
    </xf>
    <xf numFmtId="15" fontId="8" fillId="0" borderId="0" xfId="6" applyNumberFormat="1" applyFont="1" applyBorder="1" applyAlignment="1" applyProtection="1">
      <alignment horizontal="center" vertical="center" wrapText="1"/>
      <protection locked="0"/>
    </xf>
    <xf numFmtId="15" fontId="8" fillId="0" borderId="40" xfId="6" applyNumberFormat="1" applyFont="1" applyBorder="1" applyAlignment="1" applyProtection="1">
      <alignment horizontal="center" vertical="center" wrapText="1"/>
      <protection locked="0"/>
    </xf>
    <xf numFmtId="15" fontId="8" fillId="0" borderId="44" xfId="6" applyNumberFormat="1" applyFont="1" applyBorder="1" applyAlignment="1" applyProtection="1">
      <alignment horizontal="center" vertical="center" wrapText="1"/>
      <protection locked="0"/>
    </xf>
    <xf numFmtId="15" fontId="8" fillId="0" borderId="45" xfId="6" applyNumberFormat="1" applyFont="1" applyBorder="1" applyAlignment="1" applyProtection="1">
      <alignment horizontal="center" vertical="center" wrapText="1"/>
      <protection locked="0"/>
    </xf>
    <xf numFmtId="15" fontId="8" fillId="0" borderId="41" xfId="6" applyNumberFormat="1" applyFont="1" applyBorder="1" applyAlignment="1" applyProtection="1">
      <alignment horizontal="center" vertical="center" wrapText="1"/>
      <protection locked="0"/>
    </xf>
    <xf numFmtId="15" fontId="7" fillId="16" borderId="42" xfId="7" applyNumberFormat="1" applyFont="1" applyFill="1" applyBorder="1" applyAlignment="1">
      <alignment horizontal="center"/>
    </xf>
    <xf numFmtId="15" fontId="7" fillId="16" borderId="43" xfId="7" applyNumberFormat="1" applyFont="1" applyFill="1" applyBorder="1" applyAlignment="1">
      <alignment horizontal="center"/>
    </xf>
    <xf numFmtId="15" fontId="7" fillId="16" borderId="39" xfId="7" applyNumberFormat="1" applyFont="1" applyFill="1" applyBorder="1" applyAlignment="1">
      <alignment horizontal="center"/>
    </xf>
    <xf numFmtId="15" fontId="7" fillId="16" borderId="11" xfId="7" applyNumberFormat="1" applyFont="1" applyFill="1" applyBorder="1" applyAlignment="1">
      <alignment horizontal="center"/>
    </xf>
    <xf numFmtId="15" fontId="7" fillId="16" borderId="0" xfId="7" applyNumberFormat="1" applyFont="1" applyFill="1" applyAlignment="1">
      <alignment horizontal="center"/>
    </xf>
    <xf numFmtId="15" fontId="7" fillId="16" borderId="40" xfId="7" applyNumberFormat="1" applyFont="1" applyFill="1" applyBorder="1" applyAlignment="1">
      <alignment horizontal="center"/>
    </xf>
    <xf numFmtId="15" fontId="7" fillId="16" borderId="44" xfId="7" applyNumberFormat="1" applyFont="1" applyFill="1" applyBorder="1" applyAlignment="1">
      <alignment horizontal="center"/>
    </xf>
    <xf numFmtId="15" fontId="7" fillId="16" borderId="45" xfId="7" applyNumberFormat="1" applyFont="1" applyFill="1" applyBorder="1" applyAlignment="1">
      <alignment horizontal="center"/>
    </xf>
    <xf numFmtId="15" fontId="7" fillId="16" borderId="41" xfId="7" applyNumberFormat="1" applyFont="1" applyFill="1" applyBorder="1" applyAlignment="1">
      <alignment horizontal="center"/>
    </xf>
    <xf numFmtId="15" fontId="8" fillId="16" borderId="42" xfId="7" applyNumberFormat="1" applyFont="1" applyFill="1" applyBorder="1" applyAlignment="1">
      <alignment horizontal="center" vertical="center" wrapText="1"/>
    </xf>
    <xf numFmtId="15" fontId="8" fillId="16" borderId="43" xfId="7" applyNumberFormat="1" applyFont="1" applyFill="1" applyBorder="1" applyAlignment="1">
      <alignment horizontal="center" vertical="center" wrapText="1"/>
    </xf>
    <xf numFmtId="15" fontId="8" fillId="16" borderId="11" xfId="7" applyNumberFormat="1" applyFont="1" applyFill="1" applyBorder="1" applyAlignment="1">
      <alignment horizontal="center" vertical="center" wrapText="1"/>
    </xf>
    <xf numFmtId="15" fontId="8" fillId="16" borderId="0" xfId="7" applyNumberFormat="1" applyFont="1" applyFill="1" applyAlignment="1">
      <alignment horizontal="center" vertical="center" wrapText="1"/>
    </xf>
    <xf numFmtId="15" fontId="16" fillId="16" borderId="48" xfId="7" applyNumberFormat="1" applyFont="1" applyFill="1" applyBorder="1"/>
    <xf numFmtId="15" fontId="16" fillId="16" borderId="61" xfId="7" applyNumberFormat="1" applyFont="1" applyFill="1" applyBorder="1"/>
    <xf numFmtId="15" fontId="16" fillId="16" borderId="62" xfId="7" applyNumberFormat="1" applyFont="1" applyFill="1" applyBorder="1"/>
    <xf numFmtId="15" fontId="16" fillId="16" borderId="19" xfId="7" applyNumberFormat="1" applyFont="1" applyFill="1" applyBorder="1"/>
    <xf numFmtId="15" fontId="16" fillId="16" borderId="28" xfId="7" applyNumberFormat="1" applyFont="1" applyFill="1" applyBorder="1"/>
    <xf numFmtId="15" fontId="16" fillId="16" borderId="21" xfId="7" applyNumberFormat="1" applyFont="1" applyFill="1" applyBorder="1"/>
    <xf numFmtId="15" fontId="8" fillId="16" borderId="44" xfId="7" applyNumberFormat="1" applyFont="1" applyFill="1" applyBorder="1" applyAlignment="1">
      <alignment horizontal="center" vertical="center" wrapText="1"/>
    </xf>
    <xf numFmtId="15" fontId="8" fillId="16" borderId="45" xfId="7" applyNumberFormat="1" applyFont="1" applyFill="1" applyBorder="1" applyAlignment="1">
      <alignment horizontal="center" vertical="center" wrapText="1"/>
    </xf>
    <xf numFmtId="179" fontId="16" fillId="16" borderId="63" xfId="4" applyNumberFormat="1" applyFont="1" applyFill="1" applyBorder="1" applyAlignment="1">
      <alignment vertical="center"/>
    </xf>
    <xf numFmtId="179" fontId="16" fillId="16" borderId="18" xfId="4" applyNumberFormat="1" applyFont="1" applyFill="1" applyBorder="1" applyAlignment="1">
      <alignment vertical="center"/>
    </xf>
    <xf numFmtId="179" fontId="16" fillId="16" borderId="64" xfId="4" applyNumberFormat="1" applyFont="1" applyFill="1" applyBorder="1" applyAlignment="1">
      <alignment vertical="center"/>
    </xf>
    <xf numFmtId="179" fontId="16" fillId="16" borderId="50" xfId="4" applyNumberFormat="1" applyFont="1" applyFill="1" applyBorder="1" applyAlignment="1">
      <alignment vertical="center"/>
    </xf>
    <xf numFmtId="179" fontId="16" fillId="16" borderId="59" xfId="4" applyNumberFormat="1" applyFont="1" applyFill="1" applyBorder="1" applyAlignment="1">
      <alignment vertical="center"/>
    </xf>
    <xf numFmtId="179" fontId="16" fillId="16" borderId="38" xfId="4" applyNumberFormat="1" applyFont="1" applyFill="1" applyBorder="1" applyAlignment="1">
      <alignment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4" fillId="0" borderId="55" xfId="0" applyFont="1" applyBorder="1" applyAlignment="1">
      <alignment vertical="center"/>
    </xf>
  </cellXfs>
  <cellStyles count="9">
    <cellStyle name="Millares" xfId="1" builtinId="3"/>
    <cellStyle name="Moneda 2" xfId="2" xr:uid="{1F86B47E-EEC8-4E55-80B5-E7EC8F8B09E6}"/>
    <cellStyle name="Normal" xfId="0" builtinId="0"/>
    <cellStyle name="Normal_FDSHEET" xfId="3" xr:uid="{751225D6-6B2C-4148-8E05-62EA5EA119E1}"/>
    <cellStyle name="Normal_GRC" xfId="4" xr:uid="{63945A63-F2E8-4AEF-AD3B-F5F113329641}"/>
    <cellStyle name="Normal_ORC" xfId="5" xr:uid="{0DAC7A1D-9CD4-40D5-977D-80B692E2FBE7}"/>
    <cellStyle name="Normal_R_MFA-79  25-09-2010  6Hrs" xfId="6" xr:uid="{4CDB6EBE-4867-46EB-AB32-EE7A11AA3C6F}"/>
    <cellStyle name="Normal_R_MFA-79  25-09-2010  6Hrs 2" xfId="7" xr:uid="{EF4C480B-5B66-40EE-AA44-1BD032017E42}"/>
    <cellStyle name="Normal_WTDS1" xfId="8" xr:uid="{6F3100FF-0E02-47A3-97C9-D481062F071A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AEF7EB5-A0E8-4EAE-B564-CEA38E5DE27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7495830-3D97-4974-9A75-772DDB34886B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08792924894544E-2"/>
          <c:y val="2.6939387167589025E-2"/>
          <c:w val="0.90695350619884407"/>
          <c:h val="0.91952326493412029"/>
        </c:manualLayout>
      </c:layout>
      <c:lineChart>
        <c:grouping val="standard"/>
        <c:varyColors val="0"/>
        <c:ser>
          <c:idx val="0"/>
          <c:order val="0"/>
          <c:tx>
            <c:strRef>
              <c:f>Corrida!$F$11</c:f>
              <c:strCache>
                <c:ptCount val="1"/>
                <c:pt idx="0">
                  <c:v>BTPD</c:v>
                </c:pt>
              </c:strCache>
            </c:strRef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666699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cat>
            <c:numRef>
              <c:f>Corrida!$C$13:$C$49</c:f>
              <c:numCache>
                <c:formatCode>h:mm</c:formatCode>
                <c:ptCount val="37"/>
                <c:pt idx="0">
                  <c:v>0.83333333333333337</c:v>
                </c:pt>
                <c:pt idx="1">
                  <c:v>0.84722222222222221</c:v>
                </c:pt>
                <c:pt idx="2">
                  <c:v>0.86111111111111116</c:v>
                </c:pt>
                <c:pt idx="3">
                  <c:v>0.875</c:v>
                </c:pt>
                <c:pt idx="4">
                  <c:v>0.88888888888888884</c:v>
                </c:pt>
                <c:pt idx="5">
                  <c:v>0.90277777777777779</c:v>
                </c:pt>
                <c:pt idx="6">
                  <c:v>0.91666666666666663</c:v>
                </c:pt>
                <c:pt idx="7">
                  <c:v>0.93055555555555558</c:v>
                </c:pt>
                <c:pt idx="8">
                  <c:v>0.94444444444444442</c:v>
                </c:pt>
                <c:pt idx="9">
                  <c:v>0.95833333333333337</c:v>
                </c:pt>
                <c:pt idx="10">
                  <c:v>0.97222222222222221</c:v>
                </c:pt>
                <c:pt idx="11">
                  <c:v>0.98611111111111116</c:v>
                </c:pt>
                <c:pt idx="12">
                  <c:v>0</c:v>
                </c:pt>
                <c:pt idx="13">
                  <c:v>1.3888888888888888E-2</c:v>
                </c:pt>
                <c:pt idx="14">
                  <c:v>2.7777777777777776E-2</c:v>
                </c:pt>
                <c:pt idx="15">
                  <c:v>4.1666666666666664E-2</c:v>
                </c:pt>
                <c:pt idx="16">
                  <c:v>5.5555555555555552E-2</c:v>
                </c:pt>
                <c:pt idx="17">
                  <c:v>6.9444444444444448E-2</c:v>
                </c:pt>
                <c:pt idx="18">
                  <c:v>8.3333333333333329E-2</c:v>
                </c:pt>
                <c:pt idx="19">
                  <c:v>9.7222222222222224E-2</c:v>
                </c:pt>
                <c:pt idx="20">
                  <c:v>0.1111111111111111</c:v>
                </c:pt>
                <c:pt idx="21">
                  <c:v>0.125</c:v>
                </c:pt>
                <c:pt idx="22">
                  <c:v>0.1388888888888889</c:v>
                </c:pt>
                <c:pt idx="23">
                  <c:v>0.15277777777777779</c:v>
                </c:pt>
                <c:pt idx="24">
                  <c:v>0.16666666666666666</c:v>
                </c:pt>
                <c:pt idx="25">
                  <c:v>0.18055555555555555</c:v>
                </c:pt>
                <c:pt idx="26">
                  <c:v>0.19444444444444445</c:v>
                </c:pt>
                <c:pt idx="27">
                  <c:v>0.20833333333333334</c:v>
                </c:pt>
                <c:pt idx="28">
                  <c:v>0.22222222222222221</c:v>
                </c:pt>
                <c:pt idx="29">
                  <c:v>0.2361111111111111</c:v>
                </c:pt>
                <c:pt idx="30">
                  <c:v>0.25</c:v>
                </c:pt>
                <c:pt idx="31">
                  <c:v>0.2638888888888889</c:v>
                </c:pt>
                <c:pt idx="32">
                  <c:v>0.27777777777777779</c:v>
                </c:pt>
                <c:pt idx="33">
                  <c:v>0.29166666666666669</c:v>
                </c:pt>
                <c:pt idx="34">
                  <c:v>0.30555555555555558</c:v>
                </c:pt>
                <c:pt idx="35">
                  <c:v>0.31944444444444442</c:v>
                </c:pt>
                <c:pt idx="36">
                  <c:v>0.33333333333333331</c:v>
                </c:pt>
              </c:numCache>
            </c:numRef>
          </c:cat>
          <c:val>
            <c:numRef>
              <c:f>Corrida!$F$14:$F$40</c:f>
              <c:numCache>
                <c:formatCode>0.0</c:formatCode>
                <c:ptCount val="27"/>
                <c:pt idx="0">
                  <c:v>437.06159999995725</c:v>
                </c:pt>
                <c:pt idx="1">
                  <c:v>384.47279999993043</c:v>
                </c:pt>
                <c:pt idx="2">
                  <c:v>405.28079999971669</c:v>
                </c:pt>
                <c:pt idx="3">
                  <c:v>473.90400000015507</c:v>
                </c:pt>
                <c:pt idx="4">
                  <c:v>417.09599999984493</c:v>
                </c:pt>
                <c:pt idx="5">
                  <c:v>438.46560000011232</c:v>
                </c:pt>
                <c:pt idx="6">
                  <c:v>376.8768000000855</c:v>
                </c:pt>
                <c:pt idx="7">
                  <c:v>387</c:v>
                </c:pt>
                <c:pt idx="8">
                  <c:v>429.46560000011232</c:v>
                </c:pt>
                <c:pt idx="9">
                  <c:v>348.19199999968987</c:v>
                </c:pt>
                <c:pt idx="10">
                  <c:v>448.30800000031013</c:v>
                </c:pt>
                <c:pt idx="11">
                  <c:v>470.53439999988768</c:v>
                </c:pt>
                <c:pt idx="12">
                  <c:v>481.78079999971669</c:v>
                </c:pt>
                <c:pt idx="13">
                  <c:v>378.28080000024056</c:v>
                </c:pt>
                <c:pt idx="14">
                  <c:v>295.31520000012824</c:v>
                </c:pt>
                <c:pt idx="15">
                  <c:v>435.65039999998407</c:v>
                </c:pt>
                <c:pt idx="16">
                  <c:v>467.15759999980219</c:v>
                </c:pt>
                <c:pt idx="17">
                  <c:v>362.25360000017099</c:v>
                </c:pt>
                <c:pt idx="18">
                  <c:v>430.30799999978626</c:v>
                </c:pt>
                <c:pt idx="19">
                  <c:v>359.43840000004275</c:v>
                </c:pt>
                <c:pt idx="20">
                  <c:v>392.34240000019781</c:v>
                </c:pt>
                <c:pt idx="21">
                  <c:v>407.25359999964712</c:v>
                </c:pt>
                <c:pt idx="22">
                  <c:v>390.65760000032606</c:v>
                </c:pt>
                <c:pt idx="23">
                  <c:v>500.34239999967394</c:v>
                </c:pt>
                <c:pt idx="24">
                  <c:v>470.24640000035288</c:v>
                </c:pt>
                <c:pt idx="25">
                  <c:v>345.09599999984493</c:v>
                </c:pt>
                <c:pt idx="26">
                  <c:v>381.65759999980219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A-40BF-834E-B12E1B532644}"/>
            </c:ext>
          </c:extLst>
        </c:ser>
        <c:ser>
          <c:idx val="1"/>
          <c:order val="1"/>
          <c:tx>
            <c:strRef>
              <c:f>Corrida!$G$11</c:f>
              <c:strCache>
                <c:ptCount val="1"/>
                <c:pt idx="0">
                  <c:v>BBPD</c:v>
                </c:pt>
              </c:strCache>
            </c:strRef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993366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Corrida!$C$13:$C$49</c:f>
              <c:numCache>
                <c:formatCode>h:mm</c:formatCode>
                <c:ptCount val="37"/>
                <c:pt idx="0">
                  <c:v>0.83333333333333337</c:v>
                </c:pt>
                <c:pt idx="1">
                  <c:v>0.84722222222222221</c:v>
                </c:pt>
                <c:pt idx="2">
                  <c:v>0.86111111111111116</c:v>
                </c:pt>
                <c:pt idx="3">
                  <c:v>0.875</c:v>
                </c:pt>
                <c:pt idx="4">
                  <c:v>0.88888888888888884</c:v>
                </c:pt>
                <c:pt idx="5">
                  <c:v>0.90277777777777779</c:v>
                </c:pt>
                <c:pt idx="6">
                  <c:v>0.91666666666666663</c:v>
                </c:pt>
                <c:pt idx="7">
                  <c:v>0.93055555555555558</c:v>
                </c:pt>
                <c:pt idx="8">
                  <c:v>0.94444444444444442</c:v>
                </c:pt>
                <c:pt idx="9">
                  <c:v>0.95833333333333337</c:v>
                </c:pt>
                <c:pt idx="10">
                  <c:v>0.97222222222222221</c:v>
                </c:pt>
                <c:pt idx="11">
                  <c:v>0.98611111111111116</c:v>
                </c:pt>
                <c:pt idx="12">
                  <c:v>0</c:v>
                </c:pt>
                <c:pt idx="13">
                  <c:v>1.3888888888888888E-2</c:v>
                </c:pt>
                <c:pt idx="14">
                  <c:v>2.7777777777777776E-2</c:v>
                </c:pt>
                <c:pt idx="15">
                  <c:v>4.1666666666666664E-2</c:v>
                </c:pt>
                <c:pt idx="16">
                  <c:v>5.5555555555555552E-2</c:v>
                </c:pt>
                <c:pt idx="17">
                  <c:v>6.9444444444444448E-2</c:v>
                </c:pt>
                <c:pt idx="18">
                  <c:v>8.3333333333333329E-2</c:v>
                </c:pt>
                <c:pt idx="19">
                  <c:v>9.7222222222222224E-2</c:v>
                </c:pt>
                <c:pt idx="20">
                  <c:v>0.1111111111111111</c:v>
                </c:pt>
                <c:pt idx="21">
                  <c:v>0.125</c:v>
                </c:pt>
                <c:pt idx="22">
                  <c:v>0.1388888888888889</c:v>
                </c:pt>
                <c:pt idx="23">
                  <c:v>0.15277777777777779</c:v>
                </c:pt>
                <c:pt idx="24">
                  <c:v>0.16666666666666666</c:v>
                </c:pt>
                <c:pt idx="25">
                  <c:v>0.18055555555555555</c:v>
                </c:pt>
                <c:pt idx="26">
                  <c:v>0.19444444444444445</c:v>
                </c:pt>
                <c:pt idx="27">
                  <c:v>0.20833333333333334</c:v>
                </c:pt>
                <c:pt idx="28">
                  <c:v>0.22222222222222221</c:v>
                </c:pt>
                <c:pt idx="29">
                  <c:v>0.2361111111111111</c:v>
                </c:pt>
                <c:pt idx="30">
                  <c:v>0.25</c:v>
                </c:pt>
                <c:pt idx="31">
                  <c:v>0.2638888888888889</c:v>
                </c:pt>
                <c:pt idx="32">
                  <c:v>0.27777777777777779</c:v>
                </c:pt>
                <c:pt idx="33">
                  <c:v>0.29166666666666669</c:v>
                </c:pt>
                <c:pt idx="34">
                  <c:v>0.30555555555555558</c:v>
                </c:pt>
                <c:pt idx="35">
                  <c:v>0.31944444444444442</c:v>
                </c:pt>
                <c:pt idx="36">
                  <c:v>0.33333333333333331</c:v>
                </c:pt>
              </c:numCache>
            </c:numRef>
          </c:cat>
          <c:val>
            <c:numRef>
              <c:f>Corrida!$G$14:$G$40</c:f>
              <c:numCache>
                <c:formatCode>0.0</c:formatCode>
                <c:ptCount val="27"/>
                <c:pt idx="0">
                  <c:v>332.06159999995725</c:v>
                </c:pt>
                <c:pt idx="1">
                  <c:v>279.47279999993043</c:v>
                </c:pt>
                <c:pt idx="2">
                  <c:v>300.28079999971669</c:v>
                </c:pt>
                <c:pt idx="3">
                  <c:v>368.90400000015507</c:v>
                </c:pt>
                <c:pt idx="4">
                  <c:v>312.09599999984493</c:v>
                </c:pt>
                <c:pt idx="5">
                  <c:v>333.46560000011232</c:v>
                </c:pt>
                <c:pt idx="6">
                  <c:v>271.8768000000855</c:v>
                </c:pt>
                <c:pt idx="7">
                  <c:v>282</c:v>
                </c:pt>
                <c:pt idx="8">
                  <c:v>324.46560000011232</c:v>
                </c:pt>
                <c:pt idx="9">
                  <c:v>243.19199999968987</c:v>
                </c:pt>
                <c:pt idx="10">
                  <c:v>343.30800000031013</c:v>
                </c:pt>
                <c:pt idx="11">
                  <c:v>365.53439999988768</c:v>
                </c:pt>
                <c:pt idx="12">
                  <c:v>376.78079999971669</c:v>
                </c:pt>
                <c:pt idx="13">
                  <c:v>273.28080000024056</c:v>
                </c:pt>
                <c:pt idx="14">
                  <c:v>190.31520000012824</c:v>
                </c:pt>
                <c:pt idx="15">
                  <c:v>330.65039999998407</c:v>
                </c:pt>
                <c:pt idx="16">
                  <c:v>362.15759999980219</c:v>
                </c:pt>
                <c:pt idx="17">
                  <c:v>257.25360000017099</c:v>
                </c:pt>
                <c:pt idx="18">
                  <c:v>325.30799999978626</c:v>
                </c:pt>
                <c:pt idx="19">
                  <c:v>254.43840000004275</c:v>
                </c:pt>
                <c:pt idx="20">
                  <c:v>287.34240000019781</c:v>
                </c:pt>
                <c:pt idx="21">
                  <c:v>302.25359999964712</c:v>
                </c:pt>
                <c:pt idx="22">
                  <c:v>285.65760000032606</c:v>
                </c:pt>
                <c:pt idx="23">
                  <c:v>395.34239999967394</c:v>
                </c:pt>
                <c:pt idx="24">
                  <c:v>365.24640000035288</c:v>
                </c:pt>
                <c:pt idx="25">
                  <c:v>240.09599999984493</c:v>
                </c:pt>
                <c:pt idx="26">
                  <c:v>276.65759999980219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2A-40BF-834E-B12E1B532644}"/>
            </c:ext>
          </c:extLst>
        </c:ser>
        <c:ser>
          <c:idx val="2"/>
          <c:order val="2"/>
          <c:tx>
            <c:strRef>
              <c:f>Corrida!$L$11</c:f>
              <c:strCache>
                <c:ptCount val="1"/>
              </c:strCache>
            </c:strRef>
          </c:tx>
          <c:spPr>
            <a:ln w="38100">
              <a:solidFill>
                <a:srgbClr val="80808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cat>
            <c:numRef>
              <c:f>Corrida!$C$13:$C$49</c:f>
              <c:numCache>
                <c:formatCode>h:mm</c:formatCode>
                <c:ptCount val="37"/>
                <c:pt idx="0">
                  <c:v>0.83333333333333337</c:v>
                </c:pt>
                <c:pt idx="1">
                  <c:v>0.84722222222222221</c:v>
                </c:pt>
                <c:pt idx="2">
                  <c:v>0.86111111111111116</c:v>
                </c:pt>
                <c:pt idx="3">
                  <c:v>0.875</c:v>
                </c:pt>
                <c:pt idx="4">
                  <c:v>0.88888888888888884</c:v>
                </c:pt>
                <c:pt idx="5">
                  <c:v>0.90277777777777779</c:v>
                </c:pt>
                <c:pt idx="6">
                  <c:v>0.91666666666666663</c:v>
                </c:pt>
                <c:pt idx="7">
                  <c:v>0.93055555555555558</c:v>
                </c:pt>
                <c:pt idx="8">
                  <c:v>0.94444444444444442</c:v>
                </c:pt>
                <c:pt idx="9">
                  <c:v>0.95833333333333337</c:v>
                </c:pt>
                <c:pt idx="10">
                  <c:v>0.97222222222222221</c:v>
                </c:pt>
                <c:pt idx="11">
                  <c:v>0.98611111111111116</c:v>
                </c:pt>
                <c:pt idx="12">
                  <c:v>0</c:v>
                </c:pt>
                <c:pt idx="13">
                  <c:v>1.3888888888888888E-2</c:v>
                </c:pt>
                <c:pt idx="14">
                  <c:v>2.7777777777777776E-2</c:v>
                </c:pt>
                <c:pt idx="15">
                  <c:v>4.1666666666666664E-2</c:v>
                </c:pt>
                <c:pt idx="16">
                  <c:v>5.5555555555555552E-2</c:v>
                </c:pt>
                <c:pt idx="17">
                  <c:v>6.9444444444444448E-2</c:v>
                </c:pt>
                <c:pt idx="18">
                  <c:v>8.3333333333333329E-2</c:v>
                </c:pt>
                <c:pt idx="19">
                  <c:v>9.7222222222222224E-2</c:v>
                </c:pt>
                <c:pt idx="20">
                  <c:v>0.1111111111111111</c:v>
                </c:pt>
                <c:pt idx="21">
                  <c:v>0.125</c:v>
                </c:pt>
                <c:pt idx="22">
                  <c:v>0.1388888888888889</c:v>
                </c:pt>
                <c:pt idx="23">
                  <c:v>0.15277777777777779</c:v>
                </c:pt>
                <c:pt idx="24">
                  <c:v>0.16666666666666666</c:v>
                </c:pt>
                <c:pt idx="25">
                  <c:v>0.18055555555555555</c:v>
                </c:pt>
                <c:pt idx="26">
                  <c:v>0.19444444444444445</c:v>
                </c:pt>
                <c:pt idx="27">
                  <c:v>0.20833333333333334</c:v>
                </c:pt>
                <c:pt idx="28">
                  <c:v>0.22222222222222221</c:v>
                </c:pt>
                <c:pt idx="29">
                  <c:v>0.2361111111111111</c:v>
                </c:pt>
                <c:pt idx="30">
                  <c:v>0.25</c:v>
                </c:pt>
                <c:pt idx="31">
                  <c:v>0.2638888888888889</c:v>
                </c:pt>
                <c:pt idx="32">
                  <c:v>0.27777777777777779</c:v>
                </c:pt>
                <c:pt idx="33">
                  <c:v>0.29166666666666669</c:v>
                </c:pt>
                <c:pt idx="34">
                  <c:v>0.30555555555555558</c:v>
                </c:pt>
                <c:pt idx="35">
                  <c:v>0.31944444444444442</c:v>
                </c:pt>
                <c:pt idx="36">
                  <c:v>0.33333333333333331</c:v>
                </c:pt>
              </c:numCache>
            </c:numRef>
          </c:cat>
          <c:val>
            <c:numRef>
              <c:f>Corrida!$L$14:$L$40</c:f>
              <c:numCache>
                <c:formatCode>0.0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A-40BF-834E-B12E1B532644}"/>
            </c:ext>
          </c:extLst>
        </c:ser>
        <c:ser>
          <c:idx val="3"/>
          <c:order val="3"/>
          <c:tx>
            <c:strRef>
              <c:f>Corrida!$J$10</c:f>
              <c:strCache>
                <c:ptCount val="1"/>
                <c:pt idx="0">
                  <c:v>Q.H2O</c:v>
                </c:pt>
              </c:strCache>
            </c:strRef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x"/>
            <c:size val="9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Corrida!$C$13:$C$49</c:f>
              <c:numCache>
                <c:formatCode>h:mm</c:formatCode>
                <c:ptCount val="37"/>
                <c:pt idx="0">
                  <c:v>0.83333333333333337</c:v>
                </c:pt>
                <c:pt idx="1">
                  <c:v>0.84722222222222221</c:v>
                </c:pt>
                <c:pt idx="2">
                  <c:v>0.86111111111111116</c:v>
                </c:pt>
                <c:pt idx="3">
                  <c:v>0.875</c:v>
                </c:pt>
                <c:pt idx="4">
                  <c:v>0.88888888888888884</c:v>
                </c:pt>
                <c:pt idx="5">
                  <c:v>0.90277777777777779</c:v>
                </c:pt>
                <c:pt idx="6">
                  <c:v>0.91666666666666663</c:v>
                </c:pt>
                <c:pt idx="7">
                  <c:v>0.93055555555555558</c:v>
                </c:pt>
                <c:pt idx="8">
                  <c:v>0.94444444444444442</c:v>
                </c:pt>
                <c:pt idx="9">
                  <c:v>0.95833333333333337</c:v>
                </c:pt>
                <c:pt idx="10">
                  <c:v>0.97222222222222221</c:v>
                </c:pt>
                <c:pt idx="11">
                  <c:v>0.98611111111111116</c:v>
                </c:pt>
                <c:pt idx="12">
                  <c:v>0</c:v>
                </c:pt>
                <c:pt idx="13">
                  <c:v>1.3888888888888888E-2</c:v>
                </c:pt>
                <c:pt idx="14">
                  <c:v>2.7777777777777776E-2</c:v>
                </c:pt>
                <c:pt idx="15">
                  <c:v>4.1666666666666664E-2</c:v>
                </c:pt>
                <c:pt idx="16">
                  <c:v>5.5555555555555552E-2</c:v>
                </c:pt>
                <c:pt idx="17">
                  <c:v>6.9444444444444448E-2</c:v>
                </c:pt>
                <c:pt idx="18">
                  <c:v>8.3333333333333329E-2</c:v>
                </c:pt>
                <c:pt idx="19">
                  <c:v>9.7222222222222224E-2</c:v>
                </c:pt>
                <c:pt idx="20">
                  <c:v>0.1111111111111111</c:v>
                </c:pt>
                <c:pt idx="21">
                  <c:v>0.125</c:v>
                </c:pt>
                <c:pt idx="22">
                  <c:v>0.1388888888888889</c:v>
                </c:pt>
                <c:pt idx="23">
                  <c:v>0.15277777777777779</c:v>
                </c:pt>
                <c:pt idx="24">
                  <c:v>0.16666666666666666</c:v>
                </c:pt>
                <c:pt idx="25">
                  <c:v>0.18055555555555555</c:v>
                </c:pt>
                <c:pt idx="26">
                  <c:v>0.19444444444444445</c:v>
                </c:pt>
                <c:pt idx="27">
                  <c:v>0.20833333333333334</c:v>
                </c:pt>
                <c:pt idx="28">
                  <c:v>0.22222222222222221</c:v>
                </c:pt>
                <c:pt idx="29">
                  <c:v>0.2361111111111111</c:v>
                </c:pt>
                <c:pt idx="30">
                  <c:v>0.25</c:v>
                </c:pt>
                <c:pt idx="31">
                  <c:v>0.2638888888888889</c:v>
                </c:pt>
                <c:pt idx="32">
                  <c:v>0.27777777777777779</c:v>
                </c:pt>
                <c:pt idx="33">
                  <c:v>0.29166666666666669</c:v>
                </c:pt>
                <c:pt idx="34">
                  <c:v>0.30555555555555558</c:v>
                </c:pt>
                <c:pt idx="35">
                  <c:v>0.31944444444444442</c:v>
                </c:pt>
                <c:pt idx="36">
                  <c:v>0.33333333333333331</c:v>
                </c:pt>
              </c:numCache>
            </c:numRef>
          </c:cat>
          <c:val>
            <c:numRef>
              <c:f>Corrida!$J$14:$J$40</c:f>
              <c:numCache>
                <c:formatCode>0.0</c:formatCode>
                <c:ptCount val="27"/>
                <c:pt idx="0">
                  <c:v>20.587819199997348</c:v>
                </c:pt>
                <c:pt idx="1">
                  <c:v>17.327313599995687</c:v>
                </c:pt>
                <c:pt idx="2">
                  <c:v>18.617409599982434</c:v>
                </c:pt>
                <c:pt idx="3">
                  <c:v>22.872048000009613</c:v>
                </c:pt>
                <c:pt idx="4">
                  <c:v>19.349951999990385</c:v>
                </c:pt>
                <c:pt idx="5">
                  <c:v>20.674867200006965</c:v>
                </c:pt>
                <c:pt idx="6">
                  <c:v>16.8563616000053</c:v>
                </c:pt>
                <c:pt idx="7">
                  <c:v>17.483999999999998</c:v>
                </c:pt>
                <c:pt idx="8">
                  <c:v>20.116867200006965</c:v>
                </c:pt>
                <c:pt idx="9">
                  <c:v>15.077903999980771</c:v>
                </c:pt>
                <c:pt idx="10">
                  <c:v>21.285096000019227</c:v>
                </c:pt>
                <c:pt idx="11">
                  <c:v>22.663132799993036</c:v>
                </c:pt>
                <c:pt idx="12">
                  <c:v>23.360409599982436</c:v>
                </c:pt>
                <c:pt idx="13">
                  <c:v>16.943409600014913</c:v>
                </c:pt>
                <c:pt idx="14">
                  <c:v>11.799542400007951</c:v>
                </c:pt>
                <c:pt idx="15">
                  <c:v>20.500324799999014</c:v>
                </c:pt>
                <c:pt idx="16">
                  <c:v>22.453771199987735</c:v>
                </c:pt>
                <c:pt idx="17">
                  <c:v>15.949723200010601</c:v>
                </c:pt>
                <c:pt idx="18">
                  <c:v>20.169095999986748</c:v>
                </c:pt>
                <c:pt idx="19">
                  <c:v>15.77518080000265</c:v>
                </c:pt>
                <c:pt idx="20">
                  <c:v>17.815228800012264</c:v>
                </c:pt>
                <c:pt idx="21">
                  <c:v>18.739723199978123</c:v>
                </c:pt>
                <c:pt idx="22">
                  <c:v>17.710771200020215</c:v>
                </c:pt>
                <c:pt idx="23">
                  <c:v>24.511228799979783</c:v>
                </c:pt>
                <c:pt idx="24">
                  <c:v>22.645276800021879</c:v>
                </c:pt>
                <c:pt idx="25">
                  <c:v>14.885951999990386</c:v>
                </c:pt>
                <c:pt idx="26">
                  <c:v>17.152771199987736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2A-40BF-834E-B12E1B532644}"/>
            </c:ext>
          </c:extLst>
        </c:ser>
        <c:ser>
          <c:idx val="4"/>
          <c:order val="4"/>
          <c:tx>
            <c:strRef>
              <c:f>Corrida!$P$10</c:f>
              <c:strCache>
                <c:ptCount val="1"/>
                <c:pt idx="0">
                  <c:v>Q.Gas/Total</c:v>
                </c:pt>
              </c:strCache>
            </c:strRef>
          </c:tx>
          <c:spPr>
            <a:ln w="38100">
              <a:solidFill>
                <a:srgbClr val="33CCCC"/>
              </a:solidFill>
              <a:prstDash val="solid"/>
            </a:ln>
          </c:spPr>
          <c:marker>
            <c:symbol val="star"/>
            <c:size val="9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Corrida!$C$13:$C$49</c:f>
              <c:numCache>
                <c:formatCode>h:mm</c:formatCode>
                <c:ptCount val="37"/>
                <c:pt idx="0">
                  <c:v>0.83333333333333337</c:v>
                </c:pt>
                <c:pt idx="1">
                  <c:v>0.84722222222222221</c:v>
                </c:pt>
                <c:pt idx="2">
                  <c:v>0.86111111111111116</c:v>
                </c:pt>
                <c:pt idx="3">
                  <c:v>0.875</c:v>
                </c:pt>
                <c:pt idx="4">
                  <c:v>0.88888888888888884</c:v>
                </c:pt>
                <c:pt idx="5">
                  <c:v>0.90277777777777779</c:v>
                </c:pt>
                <c:pt idx="6">
                  <c:v>0.91666666666666663</c:v>
                </c:pt>
                <c:pt idx="7">
                  <c:v>0.93055555555555558</c:v>
                </c:pt>
                <c:pt idx="8">
                  <c:v>0.94444444444444442</c:v>
                </c:pt>
                <c:pt idx="9">
                  <c:v>0.95833333333333337</c:v>
                </c:pt>
                <c:pt idx="10">
                  <c:v>0.97222222222222221</c:v>
                </c:pt>
                <c:pt idx="11">
                  <c:v>0.98611111111111116</c:v>
                </c:pt>
                <c:pt idx="12">
                  <c:v>0</c:v>
                </c:pt>
                <c:pt idx="13">
                  <c:v>1.3888888888888888E-2</c:v>
                </c:pt>
                <c:pt idx="14">
                  <c:v>2.7777777777777776E-2</c:v>
                </c:pt>
                <c:pt idx="15">
                  <c:v>4.1666666666666664E-2</c:v>
                </c:pt>
                <c:pt idx="16">
                  <c:v>5.5555555555555552E-2</c:v>
                </c:pt>
                <c:pt idx="17">
                  <c:v>6.9444444444444448E-2</c:v>
                </c:pt>
                <c:pt idx="18">
                  <c:v>8.3333333333333329E-2</c:v>
                </c:pt>
                <c:pt idx="19">
                  <c:v>9.7222222222222224E-2</c:v>
                </c:pt>
                <c:pt idx="20">
                  <c:v>0.1111111111111111</c:v>
                </c:pt>
                <c:pt idx="21">
                  <c:v>0.125</c:v>
                </c:pt>
                <c:pt idx="22">
                  <c:v>0.1388888888888889</c:v>
                </c:pt>
                <c:pt idx="23">
                  <c:v>0.15277777777777779</c:v>
                </c:pt>
                <c:pt idx="24">
                  <c:v>0.16666666666666666</c:v>
                </c:pt>
                <c:pt idx="25">
                  <c:v>0.18055555555555555</c:v>
                </c:pt>
                <c:pt idx="26">
                  <c:v>0.19444444444444445</c:v>
                </c:pt>
                <c:pt idx="27">
                  <c:v>0.20833333333333334</c:v>
                </c:pt>
                <c:pt idx="28">
                  <c:v>0.22222222222222221</c:v>
                </c:pt>
                <c:pt idx="29">
                  <c:v>0.2361111111111111</c:v>
                </c:pt>
                <c:pt idx="30">
                  <c:v>0.25</c:v>
                </c:pt>
                <c:pt idx="31">
                  <c:v>0.2638888888888889</c:v>
                </c:pt>
                <c:pt idx="32">
                  <c:v>0.27777777777777779</c:v>
                </c:pt>
                <c:pt idx="33">
                  <c:v>0.29166666666666669</c:v>
                </c:pt>
                <c:pt idx="34">
                  <c:v>0.30555555555555558</c:v>
                </c:pt>
                <c:pt idx="35">
                  <c:v>0.31944444444444442</c:v>
                </c:pt>
                <c:pt idx="36">
                  <c:v>0.33333333333333331</c:v>
                </c:pt>
              </c:numCache>
            </c:numRef>
          </c:cat>
          <c:val>
            <c:numRef>
              <c:f>Corrida!$P$14:$P$40</c:f>
              <c:numCache>
                <c:formatCode>0.0</c:formatCode>
                <c:ptCount val="27"/>
                <c:pt idx="0">
                  <c:v>77.889599999994971</c:v>
                </c:pt>
                <c:pt idx="1">
                  <c:v>20.498400000011316</c:v>
                </c:pt>
                <c:pt idx="2">
                  <c:v>12.830399999988003</c:v>
                </c:pt>
                <c:pt idx="3">
                  <c:v>88.099199999986013</c:v>
                </c:pt>
                <c:pt idx="4">
                  <c:v>4.4640000000254076</c:v>
                </c:pt>
                <c:pt idx="5">
                  <c:v>67.903199999997014</c:v>
                </c:pt>
                <c:pt idx="6">
                  <c:v>15.59519999998156</c:v>
                </c:pt>
                <c:pt idx="7">
                  <c:v>7.6608000000087486</c:v>
                </c:pt>
                <c:pt idx="8">
                  <c:v>43.963199999998324</c:v>
                </c:pt>
                <c:pt idx="9">
                  <c:v>98.229600000013306</c:v>
                </c:pt>
                <c:pt idx="10">
                  <c:v>10.511999999980617</c:v>
                </c:pt>
                <c:pt idx="11">
                  <c:v>89.136000000020431</c:v>
                </c:pt>
                <c:pt idx="12">
                  <c:v>29.692799999978888</c:v>
                </c:pt>
                <c:pt idx="13">
                  <c:v>3.2687999999980093</c:v>
                </c:pt>
                <c:pt idx="14">
                  <c:v>18.331200000015087</c:v>
                </c:pt>
                <c:pt idx="15">
                  <c:v>51.508800000003248</c:v>
                </c:pt>
                <c:pt idx="16">
                  <c:v>58.528799999992771</c:v>
                </c:pt>
                <c:pt idx="17">
                  <c:v>1.7639999999992142</c:v>
                </c:pt>
                <c:pt idx="18">
                  <c:v>4.4783999999890511</c:v>
                </c:pt>
                <c:pt idx="19">
                  <c:v>51.400800000013987</c:v>
                </c:pt>
                <c:pt idx="20">
                  <c:v>6.2567999999846506</c:v>
                </c:pt>
                <c:pt idx="21">
                  <c:v>10.620000000002619</c:v>
                </c:pt>
                <c:pt idx="22">
                  <c:v>8.5392000000174448</c:v>
                </c:pt>
                <c:pt idx="23">
                  <c:v>17.596800000002986</c:v>
                </c:pt>
                <c:pt idx="24">
                  <c:v>26.099999999980355</c:v>
                </c:pt>
                <c:pt idx="25">
                  <c:v>11.973600000022998</c:v>
                </c:pt>
                <c:pt idx="26">
                  <c:v>29.282400000000052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2A-40BF-834E-B12E1B53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26575"/>
        <c:axId val="1"/>
      </c:lineChart>
      <c:catAx>
        <c:axId val="3251265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#,##0.0" sourceLinked="0"/>
        <c:majorTickMark val="none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25126575"/>
        <c:crosses val="autoZero"/>
        <c:crossBetween val="between"/>
      </c:valAx>
      <c:spPr>
        <a:solidFill>
          <a:sysClr val="window" lastClr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2877072718851321"/>
          <c:y val="8.3472454090150246E-3"/>
          <c:w val="0.85752930883639555"/>
          <c:h val="0.1752921535893155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156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al. Gas'!F10"/><Relationship Id="rId3" Type="http://schemas.openxmlformats.org/officeDocument/2006/relationships/hyperlink" Target="#'Cclo Gas Iny.'!A1"/><Relationship Id="rId7" Type="http://schemas.openxmlformats.org/officeDocument/2006/relationships/hyperlink" Target="#Bitacora!J10"/><Relationship Id="rId2" Type="http://schemas.openxmlformats.org/officeDocument/2006/relationships/hyperlink" Target="#'Cclo Petr&#243;leo'!A1"/><Relationship Id="rId1" Type="http://schemas.openxmlformats.org/officeDocument/2006/relationships/hyperlink" Target="#'Datos de Entrada'!A1"/><Relationship Id="rId6" Type="http://schemas.openxmlformats.org/officeDocument/2006/relationships/hyperlink" Target="#Notas!A10"/><Relationship Id="rId11" Type="http://schemas.openxmlformats.org/officeDocument/2006/relationships/image" Target="../media/image1.png"/><Relationship Id="rId5" Type="http://schemas.openxmlformats.org/officeDocument/2006/relationships/hyperlink" Target="#Corrida!A1"/><Relationship Id="rId10" Type="http://schemas.openxmlformats.org/officeDocument/2006/relationships/hyperlink" Target="#Laboratorio!J10"/><Relationship Id="rId4" Type="http://schemas.openxmlformats.org/officeDocument/2006/relationships/hyperlink" Target="#'Cclo Gas Total'!A1"/><Relationship Id="rId9" Type="http://schemas.openxmlformats.org/officeDocument/2006/relationships/hyperlink" Target="#Gr&#225;fic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247650</xdr:colOff>
      <xdr:row>18</xdr:row>
      <xdr:rowOff>38100</xdr:rowOff>
    </xdr:from>
    <xdr:to>
      <xdr:col>20</xdr:col>
      <xdr:colOff>600075</xdr:colOff>
      <xdr:row>20</xdr:row>
      <xdr:rowOff>47625</xdr:rowOff>
    </xdr:to>
    <xdr:sp macro="" textlink="">
      <xdr:nvSpPr>
        <xdr:cNvPr id="3363212" name="AutoShape 2207401">
          <a:hlinkClick xmlns:r="http://schemas.openxmlformats.org/officeDocument/2006/relationships" r:id="rId1" tooltip="Corregir Algún Dato de Entrada"/>
          <a:extLst>
            <a:ext uri="{FF2B5EF4-FFF2-40B4-BE49-F238E27FC236}">
              <a16:creationId xmlns:a16="http://schemas.microsoft.com/office/drawing/2014/main" id="{245DE751-1956-0B6E-C1E8-516A3DCEF6D8}"/>
            </a:ext>
          </a:extLst>
        </xdr:cNvPr>
        <xdr:cNvSpPr>
          <a:spLocks noChangeArrowheads="1"/>
        </xdr:cNvSpPr>
      </xdr:nvSpPr>
      <xdr:spPr bwMode="auto">
        <a:xfrm>
          <a:off x="11658600" y="3648075"/>
          <a:ext cx="352425" cy="371475"/>
        </a:xfrm>
        <a:prstGeom prst="curvedLeftArrow">
          <a:avLst>
            <a:gd name="adj1" fmla="val 26351"/>
            <a:gd name="adj2" fmla="val 52703"/>
            <a:gd name="adj3" fmla="val 24250"/>
          </a:avLst>
        </a:prstGeom>
        <a:solidFill>
          <a:srgbClr val="17375E"/>
        </a:solidFill>
        <a:ln w="25400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501015</xdr:colOff>
      <xdr:row>15</xdr:row>
      <xdr:rowOff>161925</xdr:rowOff>
    </xdr:from>
    <xdr:to>
      <xdr:col>19</xdr:col>
      <xdr:colOff>596308</xdr:colOff>
      <xdr:row>17</xdr:row>
      <xdr:rowOff>55651</xdr:rowOff>
    </xdr:to>
    <xdr:sp macro="" textlink="">
      <xdr:nvSpPr>
        <xdr:cNvPr id="2" name="Text Box 2207402">
          <a:hlinkClick xmlns:r="http://schemas.openxmlformats.org/officeDocument/2006/relationships" r:id="rId2" tooltip="Cálculo del Petróleo"/>
          <a:extLst>
            <a:ext uri="{FF2B5EF4-FFF2-40B4-BE49-F238E27FC236}">
              <a16:creationId xmlns:a16="http://schemas.microsoft.com/office/drawing/2014/main" id="{6597EEDB-4BB7-4EF9-96C5-7AD03C188FE2}"/>
            </a:ext>
          </a:extLst>
        </xdr:cNvPr>
        <xdr:cNvSpPr txBox="1"/>
      </xdr:nvSpPr>
      <xdr:spPr>
        <a:xfrm>
          <a:off x="10382250" y="3133725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RE-PP-005</a:t>
          </a:r>
        </a:p>
      </xdr:txBody>
    </xdr:sp>
    <xdr:clientData/>
  </xdr:twoCellAnchor>
  <xdr:twoCellAnchor>
    <xdr:from>
      <xdr:col>20</xdr:col>
      <xdr:colOff>9525</xdr:colOff>
      <xdr:row>8</xdr:row>
      <xdr:rowOff>0</xdr:rowOff>
    </xdr:from>
    <xdr:to>
      <xdr:col>21</xdr:col>
      <xdr:colOff>114300</xdr:colOff>
      <xdr:row>9</xdr:row>
      <xdr:rowOff>123825</xdr:rowOff>
    </xdr:to>
    <xdr:sp macro="" textlink="">
      <xdr:nvSpPr>
        <xdr:cNvPr id="3" name="Text Box 2207403">
          <a:hlinkClick xmlns:r="http://schemas.openxmlformats.org/officeDocument/2006/relationships" r:id="rId3" tooltip="Cálculo del Gas Inyectado"/>
          <a:extLst>
            <a:ext uri="{FF2B5EF4-FFF2-40B4-BE49-F238E27FC236}">
              <a16:creationId xmlns:a16="http://schemas.microsoft.com/office/drawing/2014/main" id="{C760E62C-FF52-49A3-899E-2447AEFBC0CF}"/>
            </a:ext>
          </a:extLst>
        </xdr:cNvPr>
        <xdr:cNvSpPr txBox="1"/>
      </xdr:nvSpPr>
      <xdr:spPr>
        <a:xfrm>
          <a:off x="11420475" y="1657350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RE-PP-007</a:t>
          </a:r>
        </a:p>
      </xdr:txBody>
    </xdr:sp>
    <xdr:clientData/>
  </xdr:twoCellAnchor>
  <xdr:twoCellAnchor>
    <xdr:from>
      <xdr:col>18</xdr:col>
      <xdr:colOff>501015</xdr:colOff>
      <xdr:row>18</xdr:row>
      <xdr:rowOff>38100</xdr:rowOff>
    </xdr:from>
    <xdr:to>
      <xdr:col>19</xdr:col>
      <xdr:colOff>596308</xdr:colOff>
      <xdr:row>20</xdr:row>
      <xdr:rowOff>0</xdr:rowOff>
    </xdr:to>
    <xdr:sp macro="" textlink="">
      <xdr:nvSpPr>
        <xdr:cNvPr id="4" name="Text Box 2207404">
          <a:hlinkClick xmlns:r="http://schemas.openxmlformats.org/officeDocument/2006/relationships" r:id="rId4" tooltip="Cálculo del Gas Total"/>
          <a:extLst>
            <a:ext uri="{FF2B5EF4-FFF2-40B4-BE49-F238E27FC236}">
              <a16:creationId xmlns:a16="http://schemas.microsoft.com/office/drawing/2014/main" id="{533033DF-3F46-46A3-9387-8B166CC1BF89}"/>
            </a:ext>
          </a:extLst>
        </xdr:cNvPr>
        <xdr:cNvSpPr txBox="1"/>
      </xdr:nvSpPr>
      <xdr:spPr>
        <a:xfrm>
          <a:off x="10382250" y="3629025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RE-PP-006</a:t>
          </a:r>
        </a:p>
      </xdr:txBody>
    </xdr:sp>
    <xdr:clientData/>
  </xdr:twoCellAnchor>
  <xdr:twoCellAnchor>
    <xdr:from>
      <xdr:col>18</xdr:col>
      <xdr:colOff>501015</xdr:colOff>
      <xdr:row>13</xdr:row>
      <xdr:rowOff>38100</xdr:rowOff>
    </xdr:from>
    <xdr:to>
      <xdr:col>19</xdr:col>
      <xdr:colOff>596308</xdr:colOff>
      <xdr:row>14</xdr:row>
      <xdr:rowOff>163828</xdr:rowOff>
    </xdr:to>
    <xdr:sp macro="" textlink="">
      <xdr:nvSpPr>
        <xdr:cNvPr id="5" name="Text Box 2207405">
          <a:hlinkClick xmlns:r="http://schemas.openxmlformats.org/officeDocument/2006/relationships" r:id="rId5" tooltip="Corrida de Datos"/>
          <a:extLst>
            <a:ext uri="{FF2B5EF4-FFF2-40B4-BE49-F238E27FC236}">
              <a16:creationId xmlns:a16="http://schemas.microsoft.com/office/drawing/2014/main" id="{48C3AD9F-83B9-442B-99F0-D438900EF92C}"/>
            </a:ext>
          </a:extLst>
        </xdr:cNvPr>
        <xdr:cNvSpPr txBox="1"/>
      </xdr:nvSpPr>
      <xdr:spPr>
        <a:xfrm>
          <a:off x="10382250" y="2628900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RE-PP-004</a:t>
          </a:r>
        </a:p>
      </xdr:txBody>
    </xdr:sp>
    <xdr:clientData/>
  </xdr:twoCellAnchor>
  <xdr:twoCellAnchor>
    <xdr:from>
      <xdr:col>20</xdr:col>
      <xdr:colOff>9525</xdr:colOff>
      <xdr:row>15</xdr:row>
      <xdr:rowOff>161925</xdr:rowOff>
    </xdr:from>
    <xdr:to>
      <xdr:col>21</xdr:col>
      <xdr:colOff>114300</xdr:colOff>
      <xdr:row>17</xdr:row>
      <xdr:rowOff>55651</xdr:rowOff>
    </xdr:to>
    <xdr:sp macro="" textlink="">
      <xdr:nvSpPr>
        <xdr:cNvPr id="6" name="Text Box 2207406">
          <a:hlinkClick xmlns:r="http://schemas.openxmlformats.org/officeDocument/2006/relationships" r:id="rId6" tooltip="Observaciones de la Prueba"/>
          <a:extLst>
            <a:ext uri="{FF2B5EF4-FFF2-40B4-BE49-F238E27FC236}">
              <a16:creationId xmlns:a16="http://schemas.microsoft.com/office/drawing/2014/main" id="{878213D4-0620-41CE-9AB5-159F4BB07CAC}"/>
            </a:ext>
          </a:extLst>
        </xdr:cNvPr>
        <xdr:cNvSpPr txBox="1"/>
      </xdr:nvSpPr>
      <xdr:spPr>
        <a:xfrm>
          <a:off x="11420475" y="3133725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Notas</a:t>
          </a:r>
        </a:p>
      </xdr:txBody>
    </xdr:sp>
    <xdr:clientData/>
  </xdr:twoCellAnchor>
  <xdr:twoCellAnchor>
    <xdr:from>
      <xdr:col>18</xdr:col>
      <xdr:colOff>501015</xdr:colOff>
      <xdr:row>8</xdr:row>
      <xdr:rowOff>0</xdr:rowOff>
    </xdr:from>
    <xdr:to>
      <xdr:col>19</xdr:col>
      <xdr:colOff>596308</xdr:colOff>
      <xdr:row>9</xdr:row>
      <xdr:rowOff>123825</xdr:rowOff>
    </xdr:to>
    <xdr:sp macro="" textlink="">
      <xdr:nvSpPr>
        <xdr:cNvPr id="7" name="Text Box 2207407">
          <a:hlinkClick xmlns:r="http://schemas.openxmlformats.org/officeDocument/2006/relationships" r:id="rId7" tooltip="Bitacora de la Prueba"/>
          <a:extLst>
            <a:ext uri="{FF2B5EF4-FFF2-40B4-BE49-F238E27FC236}">
              <a16:creationId xmlns:a16="http://schemas.microsoft.com/office/drawing/2014/main" id="{17DD36F3-B3B1-4DCD-8EA1-F3308321A586}"/>
            </a:ext>
          </a:extLst>
        </xdr:cNvPr>
        <xdr:cNvSpPr txBox="1"/>
      </xdr:nvSpPr>
      <xdr:spPr>
        <a:xfrm>
          <a:off x="10382250" y="1657350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RE-PP-001</a:t>
          </a:r>
        </a:p>
      </xdr:txBody>
    </xdr:sp>
    <xdr:clientData/>
  </xdr:twoCellAnchor>
  <xdr:twoCellAnchor>
    <xdr:from>
      <xdr:col>20</xdr:col>
      <xdr:colOff>9525</xdr:colOff>
      <xdr:row>13</xdr:row>
      <xdr:rowOff>38100</xdr:rowOff>
    </xdr:from>
    <xdr:to>
      <xdr:col>21</xdr:col>
      <xdr:colOff>114300</xdr:colOff>
      <xdr:row>14</xdr:row>
      <xdr:rowOff>163828</xdr:rowOff>
    </xdr:to>
    <xdr:sp macro="" textlink="">
      <xdr:nvSpPr>
        <xdr:cNvPr id="8" name="Text Box 2207408">
          <a:hlinkClick xmlns:r="http://schemas.openxmlformats.org/officeDocument/2006/relationships" r:id="rId8" tooltip="Ecuaciones Utilizadas para el Calculo del Gas"/>
          <a:extLst>
            <a:ext uri="{FF2B5EF4-FFF2-40B4-BE49-F238E27FC236}">
              <a16:creationId xmlns:a16="http://schemas.microsoft.com/office/drawing/2014/main" id="{ED13F37D-F2FE-4650-9175-1EC36104D441}"/>
            </a:ext>
          </a:extLst>
        </xdr:cNvPr>
        <xdr:cNvSpPr txBox="1"/>
      </xdr:nvSpPr>
      <xdr:spPr>
        <a:xfrm>
          <a:off x="11420475" y="2628900"/>
          <a:ext cx="866775" cy="323850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Cálculos</a:t>
          </a:r>
        </a:p>
      </xdr:txBody>
    </xdr:sp>
    <xdr:clientData/>
  </xdr:twoCellAnchor>
  <xdr:twoCellAnchor>
    <xdr:from>
      <xdr:col>20</xdr:col>
      <xdr:colOff>9525</xdr:colOff>
      <xdr:row>10</xdr:row>
      <xdr:rowOff>163830</xdr:rowOff>
    </xdr:from>
    <xdr:to>
      <xdr:col>21</xdr:col>
      <xdr:colOff>114300</xdr:colOff>
      <xdr:row>12</xdr:row>
      <xdr:rowOff>40355</xdr:rowOff>
    </xdr:to>
    <xdr:sp macro="" textlink="">
      <xdr:nvSpPr>
        <xdr:cNvPr id="9" name="Text Box 2207409">
          <a:hlinkClick xmlns:r="http://schemas.openxmlformats.org/officeDocument/2006/relationships" r:id="rId9" tooltip="Gráfica de Producción"/>
          <a:extLst>
            <a:ext uri="{FF2B5EF4-FFF2-40B4-BE49-F238E27FC236}">
              <a16:creationId xmlns:a16="http://schemas.microsoft.com/office/drawing/2014/main" id="{52E027EE-898B-4574-8A3C-B3A6C13B9B38}"/>
            </a:ext>
          </a:extLst>
        </xdr:cNvPr>
        <xdr:cNvSpPr txBox="1"/>
      </xdr:nvSpPr>
      <xdr:spPr>
        <a:xfrm>
          <a:off x="11420475" y="2190750"/>
          <a:ext cx="866775" cy="257175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Gráfico</a:t>
          </a:r>
        </a:p>
      </xdr:txBody>
    </xdr:sp>
    <xdr:clientData/>
  </xdr:twoCellAnchor>
  <xdr:twoCellAnchor>
    <xdr:from>
      <xdr:col>18</xdr:col>
      <xdr:colOff>501015</xdr:colOff>
      <xdr:row>10</xdr:row>
      <xdr:rowOff>163830</xdr:rowOff>
    </xdr:from>
    <xdr:to>
      <xdr:col>19</xdr:col>
      <xdr:colOff>596308</xdr:colOff>
      <xdr:row>12</xdr:row>
      <xdr:rowOff>40355</xdr:rowOff>
    </xdr:to>
    <xdr:sp macro="" textlink="">
      <xdr:nvSpPr>
        <xdr:cNvPr id="10" name="Text Box 2207410">
          <a:hlinkClick xmlns:r="http://schemas.openxmlformats.org/officeDocument/2006/relationships" r:id="rId10" tooltip="Analisis de Laboratorio"/>
          <a:extLst>
            <a:ext uri="{FF2B5EF4-FFF2-40B4-BE49-F238E27FC236}">
              <a16:creationId xmlns:a16="http://schemas.microsoft.com/office/drawing/2014/main" id="{C1AED9FD-0B09-46CB-B2DD-734958747578}"/>
            </a:ext>
          </a:extLst>
        </xdr:cNvPr>
        <xdr:cNvSpPr txBox="1"/>
      </xdr:nvSpPr>
      <xdr:spPr>
        <a:xfrm>
          <a:off x="10382250" y="2190750"/>
          <a:ext cx="866775" cy="257175"/>
        </a:xfrm>
        <a:prstGeom prst="rect">
          <a:avLst/>
        </a:prstGeom>
        <a:solidFill>
          <a:srgbClr val="A6A6A6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91440" tIns="45720" rIns="91440" bIns="45720" anchor="ctr" anchorCtr="0" upright="1"/>
        <a:lstStyle/>
        <a:p>
          <a:pPr algn="ctr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RE-PP-002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781050</xdr:colOff>
      <xdr:row>3</xdr:row>
      <xdr:rowOff>190500</xdr:rowOff>
    </xdr:to>
    <xdr:pic>
      <xdr:nvPicPr>
        <xdr:cNvPr id="3363222" name="Imagen 3">
          <a:extLst>
            <a:ext uri="{FF2B5EF4-FFF2-40B4-BE49-F238E27FC236}">
              <a16:creationId xmlns:a16="http://schemas.microsoft.com/office/drawing/2014/main" id="{BC06123B-7CD4-E9B1-0516-1559923C1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19050</xdr:rowOff>
    </xdr:from>
    <xdr:to>
      <xdr:col>3</xdr:col>
      <xdr:colOff>438150</xdr:colOff>
      <xdr:row>5</xdr:row>
      <xdr:rowOff>161925</xdr:rowOff>
    </xdr:to>
    <xdr:pic>
      <xdr:nvPicPr>
        <xdr:cNvPr id="3363912" name="Imagen 3">
          <a:extLst>
            <a:ext uri="{FF2B5EF4-FFF2-40B4-BE49-F238E27FC236}">
              <a16:creationId xmlns:a16="http://schemas.microsoft.com/office/drawing/2014/main" id="{3FE7A93A-8143-8C12-1D00-C165EB2B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09575"/>
          <a:ext cx="2009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2</xdr:row>
      <xdr:rowOff>19050</xdr:rowOff>
    </xdr:from>
    <xdr:to>
      <xdr:col>3</xdr:col>
      <xdr:colOff>438150</xdr:colOff>
      <xdr:row>5</xdr:row>
      <xdr:rowOff>161925</xdr:rowOff>
    </xdr:to>
    <xdr:pic>
      <xdr:nvPicPr>
        <xdr:cNvPr id="3363913" name="Imagen 3">
          <a:extLst>
            <a:ext uri="{FF2B5EF4-FFF2-40B4-BE49-F238E27FC236}">
              <a16:creationId xmlns:a16="http://schemas.microsoft.com/office/drawing/2014/main" id="{A77718EB-1D48-5C4D-0321-A8352FA6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09575"/>
          <a:ext cx="2009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38100</xdr:rowOff>
    </xdr:from>
    <xdr:to>
      <xdr:col>5</xdr:col>
      <xdr:colOff>9525</xdr:colOff>
      <xdr:row>4</xdr:row>
      <xdr:rowOff>161925</xdr:rowOff>
    </xdr:to>
    <xdr:pic>
      <xdr:nvPicPr>
        <xdr:cNvPr id="3364936" name="Imagen 8">
          <a:extLst>
            <a:ext uri="{FF2B5EF4-FFF2-40B4-BE49-F238E27FC236}">
              <a16:creationId xmlns:a16="http://schemas.microsoft.com/office/drawing/2014/main" id="{8C887E44-1BF9-48C9-0A26-96446C7A3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38125"/>
          <a:ext cx="1924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419100</xdr:colOff>
      <xdr:row>1</xdr:row>
      <xdr:rowOff>38100</xdr:rowOff>
    </xdr:from>
    <xdr:to>
      <xdr:col>5</xdr:col>
      <xdr:colOff>38100</xdr:colOff>
      <xdr:row>4</xdr:row>
      <xdr:rowOff>161925</xdr:rowOff>
    </xdr:to>
    <xdr:pic>
      <xdr:nvPicPr>
        <xdr:cNvPr id="3364937" name="Imagen 8">
          <a:extLst>
            <a:ext uri="{FF2B5EF4-FFF2-40B4-BE49-F238E27FC236}">
              <a16:creationId xmlns:a16="http://schemas.microsoft.com/office/drawing/2014/main" id="{57DC6171-30AE-6482-F92C-3821E2F3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38125"/>
          <a:ext cx="1924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85725</xdr:rowOff>
    </xdr:from>
    <xdr:to>
      <xdr:col>22</xdr:col>
      <xdr:colOff>685800</xdr:colOff>
      <xdr:row>35</xdr:row>
      <xdr:rowOff>76200</xdr:rowOff>
    </xdr:to>
    <xdr:graphicFrame macro="">
      <xdr:nvGraphicFramePr>
        <xdr:cNvPr id="3365960" name="Chart 2207392">
          <a:extLst>
            <a:ext uri="{FF2B5EF4-FFF2-40B4-BE49-F238E27FC236}">
              <a16:creationId xmlns:a16="http://schemas.microsoft.com/office/drawing/2014/main" id="{37849B90-0E13-DA54-662F-004DBD1D0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428625</xdr:colOff>
      <xdr:row>1</xdr:row>
      <xdr:rowOff>38100</xdr:rowOff>
    </xdr:from>
    <xdr:to>
      <xdr:col>6</xdr:col>
      <xdr:colOff>47625</xdr:colOff>
      <xdr:row>4</xdr:row>
      <xdr:rowOff>152400</xdr:rowOff>
    </xdr:to>
    <xdr:pic>
      <xdr:nvPicPr>
        <xdr:cNvPr id="3365961" name="Imagen 8">
          <a:extLst>
            <a:ext uri="{FF2B5EF4-FFF2-40B4-BE49-F238E27FC236}">
              <a16:creationId xmlns:a16="http://schemas.microsoft.com/office/drawing/2014/main" id="{AE2E51DF-C6C8-CB48-FE57-F4A02B97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8125"/>
          <a:ext cx="34290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2</xdr:col>
      <xdr:colOff>733425</xdr:colOff>
      <xdr:row>3</xdr:row>
      <xdr:rowOff>152400</xdr:rowOff>
    </xdr:to>
    <xdr:pic>
      <xdr:nvPicPr>
        <xdr:cNvPr id="3391508" name="Imagen 1">
          <a:extLst>
            <a:ext uri="{FF2B5EF4-FFF2-40B4-BE49-F238E27FC236}">
              <a16:creationId xmlns:a16="http://schemas.microsoft.com/office/drawing/2014/main" id="{927C982F-E0A6-CAEF-29E6-21FAFF1F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2133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10</xdr:col>
      <xdr:colOff>771525</xdr:colOff>
      <xdr:row>20</xdr:row>
      <xdr:rowOff>161925</xdr:rowOff>
    </xdr:to>
    <xdr:pic>
      <xdr:nvPicPr>
        <xdr:cNvPr id="3391509" name="Imagen 1">
          <a:extLst>
            <a:ext uri="{FF2B5EF4-FFF2-40B4-BE49-F238E27FC236}">
              <a16:creationId xmlns:a16="http://schemas.microsoft.com/office/drawing/2014/main" id="{12B1E733-2173-D725-2B63-3CE15BED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525"/>
          <a:ext cx="8629650" cy="320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6D74-00C2-4CE6-911E-42524BF04B75}">
  <dimension ref="A1:L18"/>
  <sheetViews>
    <sheetView workbookViewId="0">
      <selection activeCell="D28" sqref="D28:D29"/>
    </sheetView>
  </sheetViews>
  <sheetFormatPr baseColWidth="10" defaultRowHeight="15"/>
  <sheetData>
    <row r="1" spans="1:12">
      <c r="A1" s="246" t="s">
        <v>8</v>
      </c>
      <c r="B1" s="247"/>
      <c r="C1" s="247"/>
      <c r="D1" s="247"/>
      <c r="E1" s="247"/>
      <c r="F1" s="247"/>
      <c r="G1" s="247"/>
      <c r="H1" s="248"/>
      <c r="I1" s="2"/>
      <c r="J1" s="2"/>
      <c r="K1" s="2"/>
      <c r="L1" s="2"/>
    </row>
    <row r="2" spans="1:12">
      <c r="A2" s="249" t="s">
        <v>10</v>
      </c>
      <c r="B2" s="249"/>
      <c r="C2" s="249"/>
      <c r="D2" s="249"/>
      <c r="E2" s="249"/>
      <c r="F2" s="249"/>
      <c r="G2" s="249"/>
      <c r="H2" s="249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16">
        <v>0</v>
      </c>
      <c r="B5" s="117" t="e">
        <f>#REF!</f>
        <v>#REF!</v>
      </c>
      <c r="C5" s="116" t="s">
        <v>11</v>
      </c>
      <c r="D5" s="116" t="s">
        <v>15</v>
      </c>
      <c r="E5" s="116" t="s">
        <v>12</v>
      </c>
      <c r="F5" s="116" t="s">
        <v>16</v>
      </c>
      <c r="G5" s="2"/>
      <c r="H5" s="2"/>
      <c r="I5" s="2"/>
      <c r="J5" s="2"/>
      <c r="K5" s="2"/>
      <c r="L5" s="2"/>
    </row>
    <row r="6" spans="1:12">
      <c r="A6" s="116">
        <v>1</v>
      </c>
      <c r="B6" s="117" t="e">
        <f>#REF!</f>
        <v>#REF!</v>
      </c>
      <c r="C6" s="118" t="e">
        <f>#REF!*24*2</f>
        <v>#REF!</v>
      </c>
      <c r="D6" s="118" t="e">
        <f>((#REF!*#REF!/100)*24*2)</f>
        <v>#REF!</v>
      </c>
      <c r="E6" s="118" t="e">
        <f>C6-#REF!</f>
        <v>#REF!</v>
      </c>
      <c r="F6" s="119" t="e">
        <f>#REF!*24</f>
        <v>#REF!</v>
      </c>
      <c r="G6" s="2"/>
      <c r="H6" s="2"/>
      <c r="I6" s="2"/>
      <c r="J6" s="2"/>
      <c r="K6" s="2"/>
      <c r="L6" s="2"/>
    </row>
    <row r="7" spans="1:12">
      <c r="A7" s="116">
        <v>2</v>
      </c>
      <c r="B7" s="117" t="e">
        <f>#REF!</f>
        <v>#REF!</v>
      </c>
      <c r="C7" s="118" t="e">
        <f>#REF!*24*2</f>
        <v>#REF!</v>
      </c>
      <c r="D7" s="118" t="e">
        <f>((#REF!*#REF!/100)*24*2)</f>
        <v>#REF!</v>
      </c>
      <c r="E7" s="118" t="e">
        <f>C7-#REF!</f>
        <v>#REF!</v>
      </c>
      <c r="F7" s="119" t="e">
        <f>#REF!*24</f>
        <v>#REF!</v>
      </c>
      <c r="G7" s="2"/>
      <c r="H7" s="2"/>
      <c r="I7" s="2"/>
      <c r="J7" s="2"/>
      <c r="K7" s="2"/>
      <c r="L7" s="2"/>
    </row>
    <row r="8" spans="1:12">
      <c r="A8" s="116">
        <v>3</v>
      </c>
      <c r="B8" s="117" t="e">
        <f>#REF!</f>
        <v>#REF!</v>
      </c>
      <c r="C8" s="118" t="e">
        <f>#REF!*24*2</f>
        <v>#REF!</v>
      </c>
      <c r="D8" s="118" t="e">
        <f>((#REF!*#REF!/100)*24*2)</f>
        <v>#REF!</v>
      </c>
      <c r="E8" s="118" t="e">
        <f>C8-#REF!</f>
        <v>#REF!</v>
      </c>
      <c r="F8" s="119" t="e">
        <f>#REF!*24</f>
        <v>#REF!</v>
      </c>
      <c r="G8" s="2"/>
      <c r="H8" s="2"/>
      <c r="I8" s="2"/>
      <c r="J8" s="2"/>
      <c r="K8" s="2"/>
      <c r="L8" s="2"/>
    </row>
    <row r="9" spans="1:12">
      <c r="A9" s="116">
        <v>4</v>
      </c>
      <c r="B9" s="117" t="e">
        <f>#REF!</f>
        <v>#REF!</v>
      </c>
      <c r="C9" s="118" t="e">
        <f>#REF!*24*2</f>
        <v>#REF!</v>
      </c>
      <c r="D9" s="118" t="e">
        <f>((#REF!*#REF!/100)*24*2)</f>
        <v>#REF!</v>
      </c>
      <c r="E9" s="118" t="e">
        <f>C9-#REF!</f>
        <v>#REF!</v>
      </c>
      <c r="F9" s="119" t="e">
        <f>#REF!*24</f>
        <v>#REF!</v>
      </c>
      <c r="G9" s="2"/>
      <c r="H9" s="2"/>
      <c r="I9" s="2"/>
      <c r="J9" s="2"/>
      <c r="K9" s="2"/>
      <c r="L9" s="2"/>
    </row>
    <row r="10" spans="1:12">
      <c r="A10" s="116">
        <v>5</v>
      </c>
      <c r="B10" s="117" t="e">
        <f>#REF!</f>
        <v>#REF!</v>
      </c>
      <c r="C10" s="118" t="e">
        <f>#REF!*24*2</f>
        <v>#REF!</v>
      </c>
      <c r="D10" s="118" t="e">
        <f>((#REF!*#REF!/100)*24*2)</f>
        <v>#REF!</v>
      </c>
      <c r="E10" s="118" t="e">
        <f>C10-#REF!</f>
        <v>#REF!</v>
      </c>
      <c r="F10" s="119" t="e">
        <f>#REF!*24</f>
        <v>#REF!</v>
      </c>
      <c r="G10" s="2"/>
      <c r="H10" s="2"/>
      <c r="I10" s="2"/>
      <c r="J10" s="2"/>
      <c r="K10" s="2"/>
      <c r="L10" s="2"/>
    </row>
    <row r="11" spans="1:12">
      <c r="A11" s="116">
        <v>6</v>
      </c>
      <c r="B11" s="117" t="e">
        <f>#REF!</f>
        <v>#REF!</v>
      </c>
      <c r="C11" s="118" t="e">
        <f>#REF!*24*2</f>
        <v>#REF!</v>
      </c>
      <c r="D11" s="118" t="e">
        <f>((#REF!*#REF!/100)*24*2)</f>
        <v>#REF!</v>
      </c>
      <c r="E11" s="118" t="e">
        <f>C11-#REF!</f>
        <v>#REF!</v>
      </c>
      <c r="F11" s="119" t="e">
        <f>#REF!*24</f>
        <v>#REF!</v>
      </c>
      <c r="G11" s="2"/>
      <c r="H11" s="2"/>
      <c r="I11" s="2"/>
      <c r="J11" s="2"/>
      <c r="K11" s="2"/>
      <c r="L11" s="2"/>
    </row>
    <row r="12" spans="1:12">
      <c r="A12" s="116">
        <v>7</v>
      </c>
      <c r="B12" s="117" t="e">
        <f>#REF!</f>
        <v>#REF!</v>
      </c>
      <c r="C12" s="118" t="e">
        <f>#REF!*24*2</f>
        <v>#REF!</v>
      </c>
      <c r="D12" s="118" t="e">
        <f>((#REF!*#REF!/100)*24*2)</f>
        <v>#REF!</v>
      </c>
      <c r="E12" s="118" t="e">
        <f>C12-#REF!</f>
        <v>#REF!</v>
      </c>
      <c r="F12" s="119" t="e">
        <f>#REF!*24</f>
        <v>#REF!</v>
      </c>
      <c r="G12" s="2"/>
      <c r="H12" s="2"/>
      <c r="I12" s="2"/>
      <c r="J12" s="2"/>
      <c r="K12" s="2"/>
      <c r="L12" s="2"/>
    </row>
    <row r="13" spans="1:12">
      <c r="A13" s="116">
        <v>8</v>
      </c>
      <c r="B13" s="117" t="e">
        <f>#REF!</f>
        <v>#REF!</v>
      </c>
      <c r="C13" s="118" t="e">
        <f>#REF!*24*2</f>
        <v>#REF!</v>
      </c>
      <c r="D13" s="118" t="e">
        <f>((#REF!*#REF!/100)*24*2)</f>
        <v>#REF!</v>
      </c>
      <c r="E13" s="118" t="e">
        <f>C13-#REF!</f>
        <v>#REF!</v>
      </c>
      <c r="F13" s="119" t="e">
        <f>#REF!*24</f>
        <v>#REF!</v>
      </c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5563-4A1A-4644-B9C0-C2FC4ACFC456}">
  <dimension ref="A1:U143"/>
  <sheetViews>
    <sheetView topLeftCell="B4" zoomScale="98" workbookViewId="0">
      <selection activeCell="H22" sqref="H22"/>
    </sheetView>
  </sheetViews>
  <sheetFormatPr baseColWidth="10" defaultRowHeight="15"/>
  <cols>
    <col min="1" max="1" width="9.42578125" customWidth="1"/>
    <col min="2" max="2" width="7.42578125" customWidth="1"/>
    <col min="3" max="3" width="12.85546875" customWidth="1"/>
    <col min="4" max="4" width="10" customWidth="1"/>
    <col min="5" max="5" width="11.28515625" customWidth="1"/>
    <col min="6" max="6" width="6.85546875" customWidth="1"/>
    <col min="7" max="7" width="6.7109375" customWidth="1"/>
    <col min="8" max="8" width="11.28515625" customWidth="1"/>
    <col min="9" max="9" width="7.28515625" customWidth="1"/>
    <col min="10" max="10" width="9.140625" customWidth="1"/>
    <col min="11" max="11" width="8.42578125" customWidth="1"/>
    <col min="12" max="12" width="9.7109375" customWidth="1"/>
    <col min="13" max="13" width="8.140625" customWidth="1"/>
    <col min="14" max="14" width="6.28515625" customWidth="1"/>
    <col min="15" max="15" width="6" customWidth="1"/>
    <col min="16" max="16" width="5.42578125" customWidth="1"/>
    <col min="17" max="17" width="5.7109375" customWidth="1"/>
    <col min="18" max="18" width="6.28515625" customWidth="1"/>
  </cols>
  <sheetData>
    <row r="1" spans="1:18" ht="15.75" customHeight="1">
      <c r="A1" s="356"/>
      <c r="B1" s="357"/>
      <c r="C1" s="357"/>
      <c r="D1" s="358"/>
      <c r="E1" s="377" t="s">
        <v>17</v>
      </c>
      <c r="F1" s="378"/>
      <c r="G1" s="378"/>
      <c r="H1" s="378"/>
      <c r="I1" s="378"/>
      <c r="J1" s="378"/>
      <c r="K1" s="378"/>
      <c r="L1" s="378"/>
      <c r="M1" s="378"/>
      <c r="N1" s="379"/>
      <c r="O1" s="250" t="s">
        <v>18</v>
      </c>
      <c r="P1" s="251"/>
      <c r="Q1" s="251"/>
      <c r="R1" s="252"/>
    </row>
    <row r="2" spans="1:18" s="3" customFormat="1" ht="15.75" customHeight="1">
      <c r="A2" s="359"/>
      <c r="B2" s="360"/>
      <c r="C2" s="360"/>
      <c r="D2" s="361"/>
      <c r="E2" s="380"/>
      <c r="F2" s="381"/>
      <c r="G2" s="381"/>
      <c r="H2" s="381"/>
      <c r="I2" s="381"/>
      <c r="J2" s="381"/>
      <c r="K2" s="381"/>
      <c r="L2" s="381"/>
      <c r="M2" s="381"/>
      <c r="N2" s="382"/>
      <c r="O2" s="253" t="s">
        <v>19</v>
      </c>
      <c r="P2" s="254"/>
      <c r="Q2" s="254"/>
      <c r="R2" s="255"/>
    </row>
    <row r="3" spans="1:18" s="3" customFormat="1" ht="15.75" customHeight="1">
      <c r="A3" s="359"/>
      <c r="B3" s="360"/>
      <c r="C3" s="360"/>
      <c r="D3" s="361"/>
      <c r="E3" s="380"/>
      <c r="F3" s="381"/>
      <c r="G3" s="381"/>
      <c r="H3" s="381"/>
      <c r="I3" s="381"/>
      <c r="J3" s="381"/>
      <c r="K3" s="381"/>
      <c r="L3" s="381"/>
      <c r="M3" s="381"/>
      <c r="N3" s="382"/>
      <c r="O3" s="256" t="s">
        <v>20</v>
      </c>
      <c r="P3" s="257"/>
      <c r="Q3" s="257"/>
      <c r="R3" s="258"/>
    </row>
    <row r="4" spans="1:18" s="3" customFormat="1" ht="15.75" customHeight="1">
      <c r="A4" s="362"/>
      <c r="B4" s="363"/>
      <c r="C4" s="363"/>
      <c r="D4" s="364"/>
      <c r="E4" s="383"/>
      <c r="F4" s="384"/>
      <c r="G4" s="384"/>
      <c r="H4" s="384"/>
      <c r="I4" s="384"/>
      <c r="J4" s="384"/>
      <c r="K4" s="384"/>
      <c r="L4" s="384"/>
      <c r="M4" s="384"/>
      <c r="N4" s="385"/>
      <c r="O4" s="259" t="s">
        <v>21</v>
      </c>
      <c r="P4" s="260"/>
      <c r="Q4" s="260"/>
      <c r="R4" s="261"/>
    </row>
    <row r="5" spans="1:18" s="3" customFormat="1" ht="18.75" customHeight="1">
      <c r="A5" s="365" t="e">
        <f>#REF!</f>
        <v>#REF!</v>
      </c>
      <c r="B5" s="366"/>
      <c r="C5" s="366"/>
      <c r="D5" s="366"/>
      <c r="E5" s="366"/>
      <c r="F5" s="366"/>
      <c r="G5" s="366"/>
      <c r="H5" s="366"/>
      <c r="I5" s="366"/>
      <c r="J5" s="367"/>
      <c r="K5" s="262" t="s">
        <v>22</v>
      </c>
      <c r="L5" s="263"/>
      <c r="M5" s="264"/>
      <c r="N5" s="265" t="s">
        <v>23</v>
      </c>
      <c r="O5" s="266"/>
      <c r="P5" s="265" t="s">
        <v>24</v>
      </c>
      <c r="Q5" s="267"/>
      <c r="R5" s="266"/>
    </row>
    <row r="6" spans="1:18" s="3" customFormat="1" ht="18.75" customHeight="1">
      <c r="A6" s="368"/>
      <c r="B6" s="369"/>
      <c r="C6" s="369"/>
      <c r="D6" s="369"/>
      <c r="E6" s="369"/>
      <c r="F6" s="369"/>
      <c r="G6" s="369"/>
      <c r="H6" s="369"/>
      <c r="I6" s="369"/>
      <c r="J6" s="370"/>
      <c r="K6" s="268"/>
      <c r="L6" s="269"/>
      <c r="M6" s="270"/>
      <c r="N6" s="271" t="e">
        <f>#REF!</f>
        <v>#REF!</v>
      </c>
      <c r="O6" s="272"/>
      <c r="P6" s="268" t="e">
        <f>#REF!</f>
        <v>#REF!</v>
      </c>
      <c r="Q6" s="269"/>
      <c r="R6" s="270"/>
    </row>
    <row r="7" spans="1:18" s="3" customFormat="1">
      <c r="A7" s="16"/>
      <c r="B7" s="17"/>
      <c r="C7" s="273"/>
      <c r="D7" s="273"/>
      <c r="E7" s="273"/>
      <c r="F7" s="17"/>
      <c r="G7" s="17"/>
      <c r="H7" s="17"/>
      <c r="I7" s="17"/>
      <c r="J7" s="17"/>
      <c r="K7" s="83"/>
      <c r="L7" s="83"/>
      <c r="M7" s="83"/>
      <c r="N7" s="83"/>
      <c r="O7" s="83"/>
      <c r="P7" s="83"/>
      <c r="Q7" s="83"/>
      <c r="R7" s="83"/>
    </row>
    <row r="8" spans="1:18" s="3" customFormat="1" ht="15" customHeight="1">
      <c r="A8" s="18"/>
      <c r="B8" s="18"/>
      <c r="C8" s="18"/>
      <c r="D8" s="19"/>
      <c r="E8" s="18"/>
      <c r="F8" s="20"/>
      <c r="G8" s="21"/>
      <c r="H8" s="21"/>
      <c r="I8" s="84"/>
      <c r="J8" s="20"/>
      <c r="K8" s="20"/>
      <c r="L8" s="85"/>
      <c r="M8" s="86"/>
      <c r="N8" s="87"/>
      <c r="O8" s="18"/>
      <c r="P8" s="19"/>
      <c r="Q8" s="18"/>
    </row>
    <row r="9" spans="1:18" s="3" customFormat="1" ht="15.75" customHeight="1">
      <c r="A9" s="274" t="s">
        <v>25</v>
      </c>
      <c r="B9" s="275"/>
      <c r="C9" s="276"/>
      <c r="D9" s="22"/>
      <c r="E9" s="277" t="s">
        <v>26</v>
      </c>
      <c r="F9" s="278"/>
      <c r="G9" s="278"/>
      <c r="H9" s="278"/>
      <c r="I9" s="279"/>
      <c r="J9" s="88"/>
      <c r="K9" s="280" t="s">
        <v>26</v>
      </c>
      <c r="L9" s="281"/>
      <c r="M9" s="281"/>
      <c r="N9" s="282"/>
      <c r="O9" s="89"/>
      <c r="P9" s="283" t="s">
        <v>27</v>
      </c>
      <c r="Q9" s="284"/>
      <c r="R9" s="285"/>
    </row>
    <row r="10" spans="1:18" s="3" customFormat="1" ht="15" customHeight="1">
      <c r="A10" s="23" t="s">
        <v>28</v>
      </c>
      <c r="B10" s="24" t="e">
        <f>#REF!</f>
        <v>#REF!</v>
      </c>
      <c r="C10" s="25" t="s">
        <v>1</v>
      </c>
      <c r="D10" s="26"/>
      <c r="E10" s="286" t="e">
        <f>#REF!</f>
        <v>#REF!</v>
      </c>
      <c r="F10" s="287"/>
      <c r="G10" s="287"/>
      <c r="H10" s="287" t="s">
        <v>29</v>
      </c>
      <c r="I10" s="288"/>
      <c r="J10" s="90"/>
      <c r="K10" s="289" t="e">
        <f>E10</f>
        <v>#REF!</v>
      </c>
      <c r="L10" s="290"/>
      <c r="M10" s="291" t="s">
        <v>30</v>
      </c>
      <c r="N10" s="292"/>
      <c r="O10" s="90"/>
      <c r="P10" s="293" t="s">
        <v>31</v>
      </c>
      <c r="Q10" s="294"/>
      <c r="R10" s="109" t="e">
        <f>IF(#REF!&gt;4,#REF!,IF(#REF!&gt;4,#REF!,IF(#REF!&gt;4,#REF!,#REF!)))</f>
        <v>#REF!</v>
      </c>
    </row>
    <row r="11" spans="1:18" s="3" customFormat="1">
      <c r="A11" s="27" t="s">
        <v>32</v>
      </c>
      <c r="B11" s="28" t="e">
        <f>#REF!</f>
        <v>#REF!</v>
      </c>
      <c r="C11" s="29" t="s">
        <v>1</v>
      </c>
      <c r="D11" s="30"/>
      <c r="E11" s="31" t="s">
        <v>33</v>
      </c>
      <c r="F11" s="32"/>
      <c r="G11" s="33"/>
      <c r="H11" s="295" t="e">
        <f>#REF!</f>
        <v>#REF!</v>
      </c>
      <c r="I11" s="296"/>
      <c r="J11" s="51"/>
      <c r="K11" s="91" t="s">
        <v>34</v>
      </c>
      <c r="L11" s="92"/>
      <c r="M11" s="297" t="e">
        <f>#REF!</f>
        <v>#REF!</v>
      </c>
      <c r="N11" s="298"/>
      <c r="O11" s="51"/>
      <c r="P11" s="299" t="s">
        <v>35</v>
      </c>
      <c r="Q11" s="300"/>
      <c r="R11" s="109" t="e">
        <f>#REF!</f>
        <v>#REF!</v>
      </c>
    </row>
    <row r="12" spans="1:18" s="3" customFormat="1" ht="15" customHeight="1">
      <c r="A12" s="34" t="s">
        <v>36</v>
      </c>
      <c r="B12" s="28" t="e">
        <f>#REF!</f>
        <v>#REF!</v>
      </c>
      <c r="C12" s="29" t="s">
        <v>1</v>
      </c>
      <c r="D12" s="30"/>
      <c r="E12" s="31" t="s">
        <v>37</v>
      </c>
      <c r="F12" s="35"/>
      <c r="G12" s="36"/>
      <c r="H12" s="295" t="e">
        <f>#REF!</f>
        <v>#REF!</v>
      </c>
      <c r="I12" s="296"/>
      <c r="J12" s="51"/>
      <c r="K12" s="91" t="s">
        <v>38</v>
      </c>
      <c r="L12" s="92"/>
      <c r="M12" s="295" t="e">
        <f>#REF!</f>
        <v>#REF!</v>
      </c>
      <c r="N12" s="296"/>
      <c r="O12" s="51"/>
      <c r="P12" s="299" t="s">
        <v>39</v>
      </c>
      <c r="Q12" s="300"/>
      <c r="R12" s="109" t="e">
        <f>IF(#REF!&gt;4,#REF!,IF(#REF!&gt;4,#REF!,IF(#REF!&gt;4,#REF!,IF(#REF!&gt;4,#REF!,""))))</f>
        <v>#REF!</v>
      </c>
    </row>
    <row r="13" spans="1:18" s="3" customFormat="1" ht="15" customHeight="1">
      <c r="A13" s="37" t="s">
        <v>4</v>
      </c>
      <c r="B13" s="38" t="e">
        <f>#REF!</f>
        <v>#REF!</v>
      </c>
      <c r="C13" s="39" t="s">
        <v>1</v>
      </c>
      <c r="D13" s="30"/>
      <c r="E13" s="31" t="s">
        <v>40</v>
      </c>
      <c r="F13" s="32"/>
      <c r="G13" s="40"/>
      <c r="H13" s="295" t="e">
        <f>#REF!</f>
        <v>#REF!</v>
      </c>
      <c r="I13" s="296"/>
      <c r="J13" s="51"/>
      <c r="K13" s="91" t="s">
        <v>41</v>
      </c>
      <c r="L13" s="92"/>
      <c r="M13" s="295" t="e">
        <f>#REF!</f>
        <v>#REF!</v>
      </c>
      <c r="N13" s="296"/>
      <c r="O13" s="51"/>
      <c r="P13" s="301" t="s">
        <v>42</v>
      </c>
      <c r="Q13" s="302"/>
      <c r="R13" s="110" t="e">
        <f>#REF!</f>
        <v>#REF!</v>
      </c>
    </row>
    <row r="14" spans="1:18" s="3" customFormat="1" ht="15" customHeight="1">
      <c r="A14" s="41" t="s">
        <v>6</v>
      </c>
      <c r="B14" s="42" t="e">
        <f>#REF!</f>
        <v>#REF!</v>
      </c>
      <c r="C14" s="43" t="s">
        <v>7</v>
      </c>
      <c r="D14" s="44"/>
      <c r="E14" s="45" t="s">
        <v>43</v>
      </c>
      <c r="F14" s="46"/>
      <c r="G14" s="47"/>
      <c r="H14" s="303" t="e">
        <f>#REF!</f>
        <v>#REF!</v>
      </c>
      <c r="I14" s="304"/>
      <c r="J14" s="51"/>
      <c r="K14" s="93" t="s">
        <v>44</v>
      </c>
      <c r="L14" s="94"/>
      <c r="M14" s="305" t="e">
        <f>#REF!</f>
        <v>#REF!</v>
      </c>
      <c r="N14" s="306"/>
      <c r="O14" s="95"/>
      <c r="P14" s="13" t="s">
        <v>45</v>
      </c>
      <c r="Q14" s="14"/>
      <c r="R14" s="111" t="e">
        <f>#REF!</f>
        <v>#REF!</v>
      </c>
    </row>
    <row r="15" spans="1:18" s="3" customFormat="1" ht="15" customHeight="1">
      <c r="A15" s="48"/>
      <c r="B15" s="49"/>
      <c r="C15" s="50"/>
      <c r="D15" s="44"/>
      <c r="E15" s="44"/>
      <c r="F15" s="44"/>
      <c r="G15" s="44"/>
      <c r="H15" s="51"/>
      <c r="I15" s="51"/>
      <c r="J15" s="51"/>
      <c r="K15" s="44"/>
      <c r="L15" s="44"/>
      <c r="M15" s="96"/>
      <c r="N15" s="95"/>
      <c r="O15" s="95"/>
      <c r="P15" s="97"/>
      <c r="Q15" s="97"/>
      <c r="R15" s="15"/>
    </row>
    <row r="16" spans="1:18" s="3" customFormat="1" ht="15" customHeight="1">
      <c r="A16" s="18"/>
      <c r="B16" s="18"/>
      <c r="C16" s="18"/>
      <c r="D16" s="18"/>
      <c r="E16" s="18"/>
      <c r="F16" s="20"/>
      <c r="G16" s="21"/>
      <c r="H16" s="21"/>
      <c r="I16" s="98"/>
      <c r="J16" s="98"/>
      <c r="K16" s="98"/>
      <c r="L16" s="98"/>
      <c r="M16" s="95"/>
      <c r="N16" s="95"/>
      <c r="O16" s="99"/>
      <c r="P16" s="19"/>
      <c r="Q16" s="18"/>
    </row>
    <row r="17" spans="1:21" s="3" customFormat="1" ht="18">
      <c r="A17" s="307" t="s">
        <v>46</v>
      </c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9"/>
    </row>
    <row r="18" spans="1:21" s="3" customFormat="1" ht="15" customHeight="1">
      <c r="A18" s="52" t="s">
        <v>47</v>
      </c>
      <c r="B18" s="310" t="e">
        <f>#REF!</f>
        <v>#REF!</v>
      </c>
      <c r="C18" s="311"/>
      <c r="D18" s="53" t="s">
        <v>48</v>
      </c>
      <c r="E18" s="312" t="e">
        <f>#REF!</f>
        <v>#REF!</v>
      </c>
      <c r="F18" s="312"/>
      <c r="G18" s="54" t="s">
        <v>49</v>
      </c>
      <c r="H18" s="313" t="e">
        <f>#REF!</f>
        <v>#REF!</v>
      </c>
      <c r="I18" s="313"/>
      <c r="J18" s="100" t="s">
        <v>50</v>
      </c>
      <c r="K18" s="101" t="e">
        <f>#REF!</f>
        <v>#REF!</v>
      </c>
      <c r="L18" s="102" t="s">
        <v>51</v>
      </c>
      <c r="M18" s="314" t="e">
        <f>#REF!</f>
        <v>#REF!</v>
      </c>
      <c r="N18" s="315"/>
      <c r="O18" s="316" t="s">
        <v>52</v>
      </c>
      <c r="P18" s="317"/>
      <c r="Q18" s="314" t="e">
        <f>#REF!</f>
        <v>#REF!</v>
      </c>
      <c r="R18" s="318"/>
    </row>
    <row r="19" spans="1:21" ht="14.25" customHeight="1">
      <c r="A19" s="319" t="s">
        <v>53</v>
      </c>
      <c r="B19" s="320"/>
      <c r="C19" s="321" t="s">
        <v>54</v>
      </c>
      <c r="D19" s="322"/>
      <c r="E19" s="323"/>
      <c r="F19" s="4" t="s">
        <v>55</v>
      </c>
      <c r="G19" s="5" t="s">
        <v>56</v>
      </c>
      <c r="H19" s="8" t="s">
        <v>57</v>
      </c>
      <c r="I19" s="8" t="s">
        <v>54</v>
      </c>
      <c r="J19" s="9" t="s">
        <v>58</v>
      </c>
      <c r="K19" s="10" t="s">
        <v>59</v>
      </c>
      <c r="L19" s="10" t="s">
        <v>60</v>
      </c>
      <c r="M19" s="11" t="s">
        <v>61</v>
      </c>
      <c r="N19" s="7" t="s">
        <v>62</v>
      </c>
      <c r="O19" s="7" t="s">
        <v>63</v>
      </c>
      <c r="P19" s="7" t="s">
        <v>64</v>
      </c>
      <c r="Q19" s="6" t="s">
        <v>65</v>
      </c>
      <c r="R19" s="112" t="s">
        <v>66</v>
      </c>
    </row>
    <row r="20" spans="1:21" ht="14.25" customHeight="1">
      <c r="A20" s="55"/>
      <c r="B20" s="56" t="s">
        <v>67</v>
      </c>
      <c r="C20" s="57" t="s">
        <v>68</v>
      </c>
      <c r="D20" s="58" t="s">
        <v>69</v>
      </c>
      <c r="E20" s="57" t="s">
        <v>70</v>
      </c>
      <c r="F20" s="59" t="s">
        <v>71</v>
      </c>
      <c r="G20" s="59" t="s">
        <v>72</v>
      </c>
      <c r="H20" s="57" t="s">
        <v>72</v>
      </c>
      <c r="I20" s="57" t="s">
        <v>73</v>
      </c>
      <c r="J20" s="103" t="s">
        <v>74</v>
      </c>
      <c r="K20" s="104" t="s">
        <v>74</v>
      </c>
      <c r="L20" s="104" t="s">
        <v>75</v>
      </c>
      <c r="M20" s="105" t="s">
        <v>76</v>
      </c>
      <c r="N20" s="106" t="s">
        <v>7</v>
      </c>
      <c r="O20" s="106" t="s">
        <v>1</v>
      </c>
      <c r="P20" s="106" t="s">
        <v>1</v>
      </c>
      <c r="Q20" s="113" t="s">
        <v>1</v>
      </c>
      <c r="R20" s="114" t="s">
        <v>1</v>
      </c>
    </row>
    <row r="21" spans="1:21" ht="14.25" customHeight="1">
      <c r="A21" s="60" t="s">
        <v>77</v>
      </c>
      <c r="B21" s="61"/>
      <c r="C21" s="6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</row>
    <row r="22" spans="1:21" ht="15" customHeight="1">
      <c r="A22" s="64" t="s">
        <v>78</v>
      </c>
      <c r="B22" s="65" t="e">
        <f>#REF!</f>
        <v>#REF!</v>
      </c>
      <c r="C22" s="66" t="e">
        <f>#REF!</f>
        <v>#REF!</v>
      </c>
      <c r="D22" s="66" t="e">
        <f>#REF!</f>
        <v>#REF!</v>
      </c>
      <c r="E22" s="66" t="e">
        <f>D22-H22</f>
        <v>#REF!</v>
      </c>
      <c r="F22" s="66" t="e">
        <f>#REF!</f>
        <v>#REF!</v>
      </c>
      <c r="G22" s="66" t="e">
        <f>#REF!</f>
        <v>#REF!</v>
      </c>
      <c r="H22" s="66" t="e">
        <f>#REF!</f>
        <v>#REF!</v>
      </c>
      <c r="I22" s="66" t="e">
        <f>#REF!</f>
        <v>#REF!</v>
      </c>
      <c r="J22" s="66" t="e">
        <f>#REF!</f>
        <v>#REF!</v>
      </c>
      <c r="K22" s="66" t="e">
        <f>#REF!</f>
        <v>#REF!</v>
      </c>
      <c r="L22" s="66" t="e">
        <f>J22-K22</f>
        <v>#REF!</v>
      </c>
      <c r="M22" s="66" t="e">
        <f>L22*1000/I22</f>
        <v>#REF!</v>
      </c>
      <c r="N22" s="66" t="e">
        <f>#REF!</f>
        <v>#REF!</v>
      </c>
      <c r="O22" s="66" t="e">
        <f>#REF!</f>
        <v>#REF!</v>
      </c>
      <c r="P22" s="66" t="e">
        <f>IF(Corrida!T15="-","-",#REF!)</f>
        <v>#REF!</v>
      </c>
      <c r="Q22" s="66" t="e">
        <f>#REF!</f>
        <v>#REF!</v>
      </c>
      <c r="R22" s="115" t="e">
        <f>#REF!</f>
        <v>#REF!</v>
      </c>
    </row>
    <row r="23" spans="1:21" ht="14.25" customHeight="1">
      <c r="A23" s="67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12"/>
    </row>
    <row r="24" spans="1:21" ht="13.5" customHeight="1">
      <c r="A24" s="324" t="s">
        <v>79</v>
      </c>
      <c r="B24" s="324"/>
      <c r="C24" s="70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12"/>
    </row>
    <row r="25" spans="1:21" ht="13.5" customHeight="1">
      <c r="A25" s="71"/>
      <c r="B25" s="72"/>
      <c r="C25" s="73" t="s">
        <v>80</v>
      </c>
      <c r="D25" s="73" t="s">
        <v>81</v>
      </c>
      <c r="E25" s="73" t="s">
        <v>82</v>
      </c>
      <c r="F25" s="73" t="s">
        <v>83</v>
      </c>
      <c r="G25" s="73" t="s">
        <v>84</v>
      </c>
      <c r="H25" s="73" t="s">
        <v>85</v>
      </c>
      <c r="J25" s="107" t="s">
        <v>86</v>
      </c>
      <c r="K25" s="107" t="s">
        <v>87</v>
      </c>
      <c r="L25" s="107" t="s">
        <v>88</v>
      </c>
      <c r="R25" s="12"/>
    </row>
    <row r="26" spans="1:21" ht="13.5" customHeight="1">
      <c r="A26" s="67"/>
      <c r="B26" s="72" t="e">
        <f>#REF!</f>
        <v>#REF!</v>
      </c>
      <c r="C26" s="74">
        <v>1</v>
      </c>
      <c r="D26" s="75" t="e">
        <f>#REF!</f>
        <v>#REF!</v>
      </c>
      <c r="E26" s="76">
        <v>45441</v>
      </c>
      <c r="F26" s="77" t="e">
        <f>#REF!</f>
        <v>#REF!</v>
      </c>
      <c r="G26" s="74">
        <v>0.2</v>
      </c>
      <c r="H26" s="75" t="e">
        <f>D26+"00:20"</f>
        <v>#REF!</v>
      </c>
      <c r="J26" s="108" t="e">
        <f>H22</f>
        <v>#REF!</v>
      </c>
      <c r="K26" s="108" t="e">
        <f>I22</f>
        <v>#REF!</v>
      </c>
      <c r="L26" s="108" t="e">
        <f>(J26+K26)</f>
        <v>#REF!</v>
      </c>
      <c r="R26" s="12"/>
    </row>
    <row r="27" spans="1:21" ht="13.5" customHeight="1">
      <c r="B27" s="78" t="e">
        <f>#REF!</f>
        <v>#REF!</v>
      </c>
      <c r="C27" s="74">
        <v>2</v>
      </c>
      <c r="D27" s="75" t="e">
        <f>D26+"03:00"</f>
        <v>#REF!</v>
      </c>
      <c r="E27" s="76">
        <v>45441</v>
      </c>
      <c r="F27" s="77" t="e">
        <f>#REF!</f>
        <v>#REF!</v>
      </c>
      <c r="G27" s="74">
        <v>0.3</v>
      </c>
      <c r="H27" s="75" t="e">
        <f>D27+"00:20"</f>
        <v>#REF!</v>
      </c>
    </row>
    <row r="28" spans="1:21" ht="13.5" customHeight="1">
      <c r="B28" s="72" t="e">
        <f>#REF!</f>
        <v>#REF!</v>
      </c>
      <c r="C28" s="74">
        <v>3</v>
      </c>
      <c r="D28" s="75" t="e">
        <f>D27+"03:00"</f>
        <v>#REF!</v>
      </c>
      <c r="E28" s="76">
        <v>45441</v>
      </c>
      <c r="F28" s="77" t="e">
        <f>#REF!</f>
        <v>#REF!</v>
      </c>
      <c r="G28" s="74">
        <v>0.2</v>
      </c>
      <c r="H28" s="75" t="e">
        <f>D28+"00:20"</f>
        <v>#REF!</v>
      </c>
      <c r="R28" s="12"/>
      <c r="U28">
        <v>70</v>
      </c>
    </row>
    <row r="29" spans="1:21" ht="13.5" customHeight="1">
      <c r="A29" s="67"/>
      <c r="B29" s="79"/>
      <c r="R29" s="12"/>
      <c r="U29">
        <v>30</v>
      </c>
    </row>
    <row r="30" spans="1:21" ht="15" customHeight="1">
      <c r="A30" s="371" t="s">
        <v>89</v>
      </c>
      <c r="B30" s="372"/>
      <c r="C30" s="372"/>
      <c r="D30" s="372"/>
      <c r="E30" s="372"/>
      <c r="F30" s="372"/>
      <c r="G30" s="373"/>
      <c r="H30" s="371" t="s">
        <v>90</v>
      </c>
      <c r="I30" s="372"/>
      <c r="J30" s="372"/>
      <c r="K30" s="372"/>
      <c r="L30" s="372"/>
      <c r="M30" s="373"/>
      <c r="N30" s="326" t="s">
        <v>91</v>
      </c>
      <c r="O30" s="327"/>
      <c r="P30" s="327"/>
      <c r="Q30" s="327"/>
      <c r="R30" s="328"/>
      <c r="U30">
        <v>25</v>
      </c>
    </row>
    <row r="31" spans="1:21" ht="15" customHeight="1">
      <c r="A31" s="374"/>
      <c r="B31" s="375"/>
      <c r="C31" s="375"/>
      <c r="D31" s="375"/>
      <c r="E31" s="375"/>
      <c r="F31" s="375"/>
      <c r="G31" s="376"/>
      <c r="H31" s="374"/>
      <c r="I31" s="375"/>
      <c r="J31" s="375"/>
      <c r="K31" s="375"/>
      <c r="L31" s="375"/>
      <c r="M31" s="376"/>
      <c r="N31" s="329" t="s">
        <v>92</v>
      </c>
      <c r="O31" s="330"/>
      <c r="P31" s="330"/>
      <c r="Q31" s="330"/>
      <c r="R31" s="331"/>
      <c r="U31">
        <v>175</v>
      </c>
    </row>
    <row r="32" spans="1:21">
      <c r="A32" s="80" t="s">
        <v>93</v>
      </c>
      <c r="B32" s="386"/>
      <c r="C32" s="387"/>
      <c r="D32" s="387"/>
      <c r="E32" s="387"/>
      <c r="F32" s="387"/>
      <c r="G32" s="388"/>
      <c r="H32" s="332" t="s">
        <v>93</v>
      </c>
      <c r="I32" s="333"/>
      <c r="J32" s="334"/>
      <c r="K32" s="335"/>
      <c r="L32" s="335"/>
      <c r="M32" s="336"/>
      <c r="N32" s="332" t="s">
        <v>93</v>
      </c>
      <c r="O32" s="337"/>
      <c r="P32" s="338"/>
      <c r="Q32" s="338"/>
      <c r="R32" s="339"/>
    </row>
    <row r="33" spans="1:18">
      <c r="A33" s="81" t="s">
        <v>94</v>
      </c>
      <c r="B33" s="340" t="s">
        <v>95</v>
      </c>
      <c r="C33" s="341"/>
      <c r="D33" s="341"/>
      <c r="E33" s="341"/>
      <c r="F33" s="341"/>
      <c r="G33" s="342"/>
      <c r="H33" s="343" t="s">
        <v>94</v>
      </c>
      <c r="I33" s="344"/>
      <c r="J33" s="340" t="s">
        <v>96</v>
      </c>
      <c r="K33" s="341"/>
      <c r="L33" s="341"/>
      <c r="M33" s="342"/>
      <c r="N33" s="343" t="s">
        <v>94</v>
      </c>
      <c r="O33" s="345"/>
      <c r="P33" s="346"/>
      <c r="Q33" s="346"/>
      <c r="R33" s="347"/>
    </row>
    <row r="34" spans="1:18">
      <c r="A34" s="81" t="s">
        <v>97</v>
      </c>
      <c r="B34" s="340"/>
      <c r="C34" s="341"/>
      <c r="D34" s="341"/>
      <c r="E34" s="341"/>
      <c r="F34" s="341"/>
      <c r="G34" s="342"/>
      <c r="H34" s="343" t="s">
        <v>97</v>
      </c>
      <c r="I34" s="344"/>
      <c r="J34" s="340"/>
      <c r="K34" s="341"/>
      <c r="L34" s="341"/>
      <c r="M34" s="342"/>
      <c r="N34" s="343" t="s">
        <v>97</v>
      </c>
      <c r="O34" s="345"/>
      <c r="P34" s="346"/>
      <c r="Q34" s="346"/>
      <c r="R34" s="347"/>
    </row>
    <row r="35" spans="1:18" ht="15" customHeight="1">
      <c r="A35" s="82" t="s">
        <v>98</v>
      </c>
      <c r="B35" s="348" t="e">
        <f>N6</f>
        <v>#REF!</v>
      </c>
      <c r="C35" s="349"/>
      <c r="D35" s="349"/>
      <c r="E35" s="349"/>
      <c r="F35" s="349"/>
      <c r="G35" s="350"/>
      <c r="H35" s="351" t="s">
        <v>98</v>
      </c>
      <c r="I35" s="352"/>
      <c r="J35" s="348"/>
      <c r="K35" s="349"/>
      <c r="L35" s="349"/>
      <c r="M35" s="350"/>
      <c r="N35" s="351" t="s">
        <v>98</v>
      </c>
      <c r="O35" s="353"/>
      <c r="P35" s="354"/>
      <c r="Q35" s="354"/>
      <c r="R35" s="355"/>
    </row>
    <row r="36" spans="1:18">
      <c r="A36" s="1"/>
      <c r="B36" s="1"/>
      <c r="R36" s="12"/>
    </row>
    <row r="37" spans="1:18">
      <c r="A37" s="1"/>
      <c r="R37" s="12"/>
    </row>
    <row r="38" spans="1:18">
      <c r="R38" s="12"/>
    </row>
    <row r="39" spans="1:18">
      <c r="R39" s="12"/>
    </row>
    <row r="40" spans="1:18">
      <c r="R40" s="12"/>
    </row>
    <row r="41" spans="1:18">
      <c r="R41" s="12"/>
    </row>
    <row r="42" spans="1:18">
      <c r="R42" s="12"/>
    </row>
    <row r="43" spans="1:18">
      <c r="R43" s="12"/>
    </row>
    <row r="44" spans="1:18">
      <c r="R44" s="12"/>
    </row>
    <row r="45" spans="1:18">
      <c r="R45" s="12"/>
    </row>
    <row r="46" spans="1:18">
      <c r="R46" s="12"/>
    </row>
    <row r="47" spans="1:18">
      <c r="R47" s="12"/>
    </row>
    <row r="48" spans="1:18">
      <c r="R48" s="12"/>
    </row>
    <row r="49" spans="18:18">
      <c r="R49" s="12"/>
    </row>
    <row r="50" spans="18:18">
      <c r="R50" s="12"/>
    </row>
    <row r="51" spans="18:18">
      <c r="R51" s="12"/>
    </row>
    <row r="52" spans="18:18">
      <c r="R52" s="12"/>
    </row>
    <row r="53" spans="18:18">
      <c r="R53" s="12"/>
    </row>
    <row r="54" spans="18:18">
      <c r="R54" s="12"/>
    </row>
    <row r="55" spans="18:18">
      <c r="R55" s="12"/>
    </row>
    <row r="56" spans="18:18">
      <c r="R56" s="12"/>
    </row>
    <row r="57" spans="18:18">
      <c r="R57" s="12"/>
    </row>
    <row r="58" spans="18:18">
      <c r="R58" s="12"/>
    </row>
    <row r="59" spans="18:18">
      <c r="R59" s="12"/>
    </row>
    <row r="60" spans="18:18">
      <c r="R60" s="12"/>
    </row>
    <row r="61" spans="18:18">
      <c r="R61" s="12"/>
    </row>
    <row r="62" spans="18:18">
      <c r="R62" s="12"/>
    </row>
    <row r="63" spans="18:18">
      <c r="R63" s="12"/>
    </row>
    <row r="64" spans="18:18">
      <c r="R64" s="12"/>
    </row>
    <row r="65" spans="18:18">
      <c r="R65" s="12"/>
    </row>
    <row r="66" spans="18:18">
      <c r="R66" s="12"/>
    </row>
    <row r="67" spans="18:18">
      <c r="R67" s="12"/>
    </row>
    <row r="68" spans="18:18">
      <c r="R68" s="12"/>
    </row>
    <row r="69" spans="18:18">
      <c r="R69" s="12"/>
    </row>
    <row r="70" spans="18:18">
      <c r="R70" s="12"/>
    </row>
    <row r="71" spans="18:18">
      <c r="R71" s="12"/>
    </row>
    <row r="72" spans="18:18">
      <c r="R72" s="12"/>
    </row>
    <row r="73" spans="18:18">
      <c r="R73" s="12"/>
    </row>
    <row r="74" spans="18:18">
      <c r="R74" s="12"/>
    </row>
    <row r="75" spans="18:18">
      <c r="R75" s="12"/>
    </row>
    <row r="76" spans="18:18">
      <c r="R76" s="12"/>
    </row>
    <row r="77" spans="18:18">
      <c r="R77" s="12"/>
    </row>
    <row r="78" spans="18:18">
      <c r="R78" s="12"/>
    </row>
    <row r="79" spans="18:18">
      <c r="R79" s="12"/>
    </row>
    <row r="80" spans="18:18">
      <c r="R80" s="12"/>
    </row>
    <row r="81" spans="18:18">
      <c r="R81" s="12"/>
    </row>
    <row r="82" spans="18:18">
      <c r="R82" s="12"/>
    </row>
    <row r="83" spans="18:18">
      <c r="R83" s="12"/>
    </row>
    <row r="84" spans="18:18">
      <c r="R84" s="12"/>
    </row>
    <row r="85" spans="18:18">
      <c r="R85" s="12"/>
    </row>
    <row r="86" spans="18:18">
      <c r="R86" s="12"/>
    </row>
    <row r="87" spans="18:18">
      <c r="R87" s="12"/>
    </row>
    <row r="88" spans="18:18">
      <c r="R88" s="12"/>
    </row>
    <row r="89" spans="18:18">
      <c r="R89" s="12"/>
    </row>
    <row r="90" spans="18:18">
      <c r="R90" s="12"/>
    </row>
    <row r="91" spans="18:18">
      <c r="R91" s="12"/>
    </row>
    <row r="92" spans="18:18">
      <c r="R92" s="12"/>
    </row>
    <row r="93" spans="18:18">
      <c r="R93" s="12"/>
    </row>
    <row r="94" spans="18:18">
      <c r="R94" s="12"/>
    </row>
    <row r="95" spans="18:18">
      <c r="R95" s="12"/>
    </row>
    <row r="96" spans="18:18">
      <c r="R96" s="12"/>
    </row>
    <row r="97" spans="18:18">
      <c r="R97" s="12"/>
    </row>
    <row r="98" spans="18:18">
      <c r="R98" s="12"/>
    </row>
    <row r="99" spans="18:18">
      <c r="R99" s="12"/>
    </row>
    <row r="100" spans="18:18">
      <c r="R100" s="12"/>
    </row>
    <row r="101" spans="18:18">
      <c r="R101" s="12"/>
    </row>
    <row r="102" spans="18:18">
      <c r="R102" s="12"/>
    </row>
    <row r="103" spans="18:18">
      <c r="R103" s="12"/>
    </row>
    <row r="104" spans="18:18">
      <c r="R104" s="12"/>
    </row>
    <row r="105" spans="18:18">
      <c r="R105" s="12"/>
    </row>
    <row r="106" spans="18:18">
      <c r="R106" s="12"/>
    </row>
    <row r="107" spans="18:18">
      <c r="R107" s="12"/>
    </row>
    <row r="108" spans="18:18">
      <c r="R108" s="12"/>
    </row>
    <row r="109" spans="18:18">
      <c r="R109" s="12"/>
    </row>
    <row r="110" spans="18:18">
      <c r="R110" s="12"/>
    </row>
    <row r="111" spans="18:18">
      <c r="R111" s="12"/>
    </row>
    <row r="112" spans="18:18">
      <c r="R112" s="12"/>
    </row>
    <row r="113" spans="18:18">
      <c r="R113" s="12"/>
    </row>
    <row r="114" spans="18:18">
      <c r="R114" s="12"/>
    </row>
    <row r="115" spans="18:18">
      <c r="R115" s="12"/>
    </row>
    <row r="116" spans="18:18">
      <c r="R116" s="12"/>
    </row>
    <row r="117" spans="18:18">
      <c r="R117" s="12"/>
    </row>
    <row r="118" spans="18:18">
      <c r="R118" s="12"/>
    </row>
    <row r="119" spans="18:18">
      <c r="R119" s="12"/>
    </row>
    <row r="120" spans="18:18">
      <c r="R120" s="12"/>
    </row>
    <row r="121" spans="18:18">
      <c r="R121" s="12"/>
    </row>
    <row r="122" spans="18:18">
      <c r="R122" s="12"/>
    </row>
    <row r="123" spans="18:18">
      <c r="R123" s="12"/>
    </row>
    <row r="124" spans="18:18">
      <c r="R124" s="12"/>
    </row>
    <row r="125" spans="18:18">
      <c r="R125" s="12"/>
    </row>
    <row r="126" spans="18:18">
      <c r="R126" s="12"/>
    </row>
    <row r="127" spans="18:18">
      <c r="R127" s="12"/>
    </row>
    <row r="128" spans="18:18">
      <c r="R128" s="12"/>
    </row>
    <row r="129" spans="18:18">
      <c r="R129" s="12"/>
    </row>
    <row r="130" spans="18:18">
      <c r="R130" s="12"/>
    </row>
    <row r="131" spans="18:18">
      <c r="R131" s="12"/>
    </row>
    <row r="132" spans="18:18">
      <c r="R132" s="12"/>
    </row>
    <row r="133" spans="18:18">
      <c r="R133" s="12"/>
    </row>
    <row r="134" spans="18:18">
      <c r="R134" s="12"/>
    </row>
    <row r="135" spans="18:18">
      <c r="R135" s="12"/>
    </row>
    <row r="136" spans="18:18">
      <c r="R136" s="12"/>
    </row>
    <row r="137" spans="18:18">
      <c r="R137" s="12"/>
    </row>
    <row r="138" spans="18:18">
      <c r="R138" s="12"/>
    </row>
    <row r="139" spans="18:18">
      <c r="R139" s="12"/>
    </row>
    <row r="140" spans="18:18">
      <c r="R140" s="12"/>
    </row>
    <row r="141" spans="18:18">
      <c r="R141" s="12"/>
    </row>
    <row r="142" spans="18:18">
      <c r="R142" s="12"/>
    </row>
    <row r="143" spans="18:18">
      <c r="R143" s="12"/>
    </row>
  </sheetData>
  <mergeCells count="69">
    <mergeCell ref="A1:D4"/>
    <mergeCell ref="A5:J6"/>
    <mergeCell ref="H30:M31"/>
    <mergeCell ref="E1:N4"/>
    <mergeCell ref="A30:G31"/>
    <mergeCell ref="B34:G34"/>
    <mergeCell ref="H34:I34"/>
    <mergeCell ref="J34:M34"/>
    <mergeCell ref="N34:O34"/>
    <mergeCell ref="B32:G32"/>
    <mergeCell ref="P34:R34"/>
    <mergeCell ref="B35:G35"/>
    <mergeCell ref="H35:I35"/>
    <mergeCell ref="J35:M35"/>
    <mergeCell ref="N35:O35"/>
    <mergeCell ref="P35:R35"/>
    <mergeCell ref="H32:I32"/>
    <mergeCell ref="J32:M32"/>
    <mergeCell ref="N32:O32"/>
    <mergeCell ref="P32:R32"/>
    <mergeCell ref="B33:G33"/>
    <mergeCell ref="H33:I33"/>
    <mergeCell ref="J33:M33"/>
    <mergeCell ref="N33:O33"/>
    <mergeCell ref="P33:R33"/>
    <mergeCell ref="A19:B19"/>
    <mergeCell ref="C19:E19"/>
    <mergeCell ref="A24:B24"/>
    <mergeCell ref="D24:Q24"/>
    <mergeCell ref="N30:R30"/>
    <mergeCell ref="N31:R31"/>
    <mergeCell ref="H14:I14"/>
    <mergeCell ref="M14:N14"/>
    <mergeCell ref="A17:R17"/>
    <mergeCell ref="B18:C18"/>
    <mergeCell ref="E18:F18"/>
    <mergeCell ref="H18:I18"/>
    <mergeCell ref="M18:N18"/>
    <mergeCell ref="O18:P18"/>
    <mergeCell ref="Q18:R18"/>
    <mergeCell ref="H12:I12"/>
    <mergeCell ref="M12:N12"/>
    <mergeCell ref="P12:Q12"/>
    <mergeCell ref="H13:I13"/>
    <mergeCell ref="M13:N13"/>
    <mergeCell ref="P13:Q13"/>
    <mergeCell ref="E10:G10"/>
    <mergeCell ref="H10:I10"/>
    <mergeCell ref="K10:L10"/>
    <mergeCell ref="M10:N10"/>
    <mergeCell ref="P10:Q10"/>
    <mergeCell ref="H11:I11"/>
    <mergeCell ref="M11:N11"/>
    <mergeCell ref="P11:Q11"/>
    <mergeCell ref="K6:M6"/>
    <mergeCell ref="N6:O6"/>
    <mergeCell ref="P6:R6"/>
    <mergeCell ref="C7:E7"/>
    <mergeCell ref="A9:C9"/>
    <mergeCell ref="E9:I9"/>
    <mergeCell ref="K9:N9"/>
    <mergeCell ref="P9:R9"/>
    <mergeCell ref="O1:R1"/>
    <mergeCell ref="O2:R2"/>
    <mergeCell ref="O3:R3"/>
    <mergeCell ref="O4:R4"/>
    <mergeCell ref="K5:M5"/>
    <mergeCell ref="N5:O5"/>
    <mergeCell ref="P5:R5"/>
  </mergeCells>
  <printOptions horizontalCentered="1"/>
  <pageMargins left="0.31496062992125984" right="0.31496062992125984" top="0.59055118110236227" bottom="0.39370078740157483" header="0.31496062992125984" footer="0.31496062992125984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3670-9341-43F4-A3FA-F8BFBA26BD4C}">
  <sheetPr>
    <tabColor rgb="FF92D050"/>
    <pageSetUpPr fitToPage="1"/>
  </sheetPr>
  <dimension ref="A1:T33"/>
  <sheetViews>
    <sheetView topLeftCell="B1" zoomScaleNormal="100" workbookViewId="0">
      <selection activeCell="R24" sqref="R24"/>
    </sheetView>
  </sheetViews>
  <sheetFormatPr baseColWidth="10" defaultRowHeight="15"/>
  <cols>
    <col min="1" max="1" width="1.140625" style="133" hidden="1" customWidth="1"/>
    <col min="2" max="2" width="17.28515625" style="133" customWidth="1"/>
    <col min="3" max="3" width="11.85546875" style="133" customWidth="1"/>
    <col min="4" max="4" width="11.5703125" style="133" customWidth="1"/>
    <col min="5" max="5" width="7.7109375" style="133" customWidth="1"/>
    <col min="6" max="6" width="1.7109375" style="133" customWidth="1"/>
    <col min="7" max="7" width="4" style="133" hidden="1" customWidth="1"/>
    <col min="8" max="9" width="12.42578125" style="133" bestFit="1" customWidth="1"/>
    <col min="10" max="11" width="11.5703125" style="133" bestFit="1" customWidth="1"/>
    <col min="12" max="12" width="8.140625" style="133" customWidth="1"/>
    <col min="13" max="13" width="10" style="133" customWidth="1"/>
    <col min="14" max="14" width="11.5703125" style="133" customWidth="1"/>
    <col min="15" max="15" width="11" style="133" customWidth="1"/>
    <col min="16" max="16" width="11.5703125" style="133" bestFit="1" customWidth="1"/>
    <col min="17" max="17" width="11.5703125" style="133" customWidth="1"/>
    <col min="18" max="18" width="12.42578125" style="133" customWidth="1"/>
    <col min="19" max="19" width="0.42578125" style="133" customWidth="1"/>
    <col min="20" max="20" width="0.140625" style="133" customWidth="1"/>
    <col min="21" max="16384" width="11.42578125" style="133"/>
  </cols>
  <sheetData>
    <row r="1" spans="1:20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</row>
    <row r="2" spans="1:20" ht="15.75" thickBo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0" ht="15" customHeight="1" thickBot="1">
      <c r="A3" s="159"/>
      <c r="B3" s="446"/>
      <c r="C3" s="447"/>
      <c r="D3" s="448"/>
      <c r="E3" s="461" t="s">
        <v>17</v>
      </c>
      <c r="F3" s="462"/>
      <c r="G3" s="462"/>
      <c r="H3" s="462"/>
      <c r="I3" s="462"/>
      <c r="J3" s="462"/>
      <c r="K3" s="462"/>
      <c r="L3" s="462"/>
      <c r="M3" s="462"/>
      <c r="N3" s="462"/>
      <c r="O3" s="463"/>
      <c r="P3" s="489" t="s">
        <v>148</v>
      </c>
      <c r="Q3" s="490"/>
      <c r="R3" s="490"/>
      <c r="S3" s="491"/>
      <c r="T3" s="159"/>
    </row>
    <row r="4" spans="1:20" ht="15" customHeight="1" thickBot="1">
      <c r="A4" s="159"/>
      <c r="B4" s="449"/>
      <c r="C4" s="450"/>
      <c r="D4" s="451"/>
      <c r="E4" s="464"/>
      <c r="F4" s="465"/>
      <c r="G4" s="465"/>
      <c r="H4" s="465"/>
      <c r="I4" s="465"/>
      <c r="J4" s="465"/>
      <c r="K4" s="465"/>
      <c r="L4" s="465"/>
      <c r="M4" s="465"/>
      <c r="N4" s="465"/>
      <c r="O4" s="466"/>
      <c r="P4" s="492" t="s">
        <v>149</v>
      </c>
      <c r="Q4" s="493"/>
      <c r="R4" s="493"/>
      <c r="S4" s="494"/>
      <c r="T4" s="159"/>
    </row>
    <row r="5" spans="1:20" ht="15" customHeight="1" thickBot="1">
      <c r="A5" s="159"/>
      <c r="B5" s="449"/>
      <c r="C5" s="450"/>
      <c r="D5" s="451"/>
      <c r="E5" s="464"/>
      <c r="F5" s="465"/>
      <c r="G5" s="465"/>
      <c r="H5" s="465"/>
      <c r="I5" s="465"/>
      <c r="J5" s="465"/>
      <c r="K5" s="465"/>
      <c r="L5" s="465"/>
      <c r="M5" s="465"/>
      <c r="N5" s="465"/>
      <c r="O5" s="466"/>
      <c r="P5" s="495" t="s">
        <v>152</v>
      </c>
      <c r="Q5" s="496"/>
      <c r="R5" s="496"/>
      <c r="S5" s="497"/>
      <c r="T5" s="159"/>
    </row>
    <row r="6" spans="1:20" ht="15.75" customHeight="1" thickBot="1">
      <c r="A6" s="159"/>
      <c r="B6" s="452"/>
      <c r="C6" s="453"/>
      <c r="D6" s="454"/>
      <c r="E6" s="467"/>
      <c r="F6" s="468"/>
      <c r="G6" s="468"/>
      <c r="H6" s="468"/>
      <c r="I6" s="468"/>
      <c r="J6" s="468"/>
      <c r="K6" s="468"/>
      <c r="L6" s="468"/>
      <c r="M6" s="468"/>
      <c r="N6" s="468"/>
      <c r="O6" s="469"/>
      <c r="P6" s="498" t="s">
        <v>154</v>
      </c>
      <c r="Q6" s="499"/>
      <c r="R6" s="499"/>
      <c r="S6" s="500"/>
      <c r="T6" s="159"/>
    </row>
    <row r="7" spans="1:20" ht="15.75" thickBot="1">
      <c r="A7" s="159"/>
      <c r="B7" s="503"/>
      <c r="C7" s="504"/>
      <c r="D7" s="504"/>
      <c r="E7" s="504"/>
      <c r="F7" s="504"/>
      <c r="G7" s="504"/>
      <c r="H7" s="504"/>
      <c r="I7" s="504"/>
      <c r="J7" s="504"/>
      <c r="K7" s="504"/>
      <c r="L7" s="504"/>
      <c r="M7" s="504"/>
      <c r="N7" s="504"/>
      <c r="O7" s="504"/>
      <c r="P7" s="504"/>
      <c r="Q7" s="504"/>
      <c r="R7" s="504"/>
      <c r="S7" s="504"/>
      <c r="T7" s="505"/>
    </row>
    <row r="8" spans="1:20" ht="15.75" thickBot="1">
      <c r="A8" s="159"/>
      <c r="B8" s="506" t="s">
        <v>100</v>
      </c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8"/>
    </row>
    <row r="9" spans="1:20" ht="26.25" thickBot="1">
      <c r="A9" s="159"/>
      <c r="B9" s="160" t="s">
        <v>101</v>
      </c>
      <c r="C9" s="161" t="s">
        <v>2</v>
      </c>
      <c r="D9" s="509" t="s">
        <v>102</v>
      </c>
      <c r="E9" s="510"/>
      <c r="F9" s="510"/>
      <c r="G9" s="511"/>
      <c r="H9" s="162" t="s">
        <v>103</v>
      </c>
      <c r="I9" s="162" t="s">
        <v>104</v>
      </c>
      <c r="J9" s="512" t="s">
        <v>105</v>
      </c>
      <c r="K9" s="513"/>
      <c r="L9" s="514"/>
      <c r="M9" s="470" t="s">
        <v>106</v>
      </c>
      <c r="N9" s="471"/>
      <c r="O9" s="471"/>
      <c r="P9" s="471"/>
      <c r="Q9" s="471"/>
      <c r="R9" s="471"/>
      <c r="S9" s="163"/>
      <c r="T9" s="164"/>
    </row>
    <row r="10" spans="1:20">
      <c r="A10" s="159"/>
      <c r="B10" s="439" t="s">
        <v>0</v>
      </c>
      <c r="C10" s="441" t="s">
        <v>170</v>
      </c>
      <c r="D10" s="470" t="s">
        <v>107</v>
      </c>
      <c r="E10" s="471"/>
      <c r="F10" s="471"/>
      <c r="G10" s="472"/>
      <c r="H10" s="201" t="str">
        <f>Corrida!B13</f>
        <v>20/02/2026</v>
      </c>
      <c r="I10" s="201" t="str">
        <f>Corrida!B49</f>
        <v>21/02/2026</v>
      </c>
      <c r="J10" s="165" t="s">
        <v>108</v>
      </c>
      <c r="K10" s="389" t="s">
        <v>109</v>
      </c>
      <c r="L10" s="390"/>
      <c r="M10" s="501"/>
      <c r="N10" s="502"/>
      <c r="O10" s="502"/>
      <c r="P10" s="502"/>
      <c r="Q10" s="502"/>
      <c r="R10" s="502"/>
      <c r="S10" s="166"/>
      <c r="T10" s="167"/>
    </row>
    <row r="11" spans="1:20" ht="15.75" thickBot="1">
      <c r="A11" s="159"/>
      <c r="B11" s="440"/>
      <c r="C11" s="442"/>
      <c r="D11" s="473"/>
      <c r="E11" s="474"/>
      <c r="F11" s="474"/>
      <c r="G11" s="475"/>
      <c r="H11" s="202">
        <f>Corrida!C13</f>
        <v>0.83333333333333337</v>
      </c>
      <c r="I11" s="202">
        <f>Corrida!C49</f>
        <v>0.33333333333333331</v>
      </c>
      <c r="J11" s="200" t="s">
        <v>171</v>
      </c>
      <c r="K11" s="391" t="s">
        <v>172</v>
      </c>
      <c r="L11" s="392"/>
      <c r="M11" s="473"/>
      <c r="N11" s="502"/>
      <c r="O11" s="474"/>
      <c r="P11" s="474"/>
      <c r="Q11" s="474"/>
      <c r="R11" s="474"/>
      <c r="S11" s="168"/>
      <c r="T11" s="169"/>
    </row>
    <row r="12" spans="1:20" ht="67.5" customHeight="1" thickBot="1">
      <c r="A12" s="159"/>
      <c r="B12" s="170" t="s">
        <v>110</v>
      </c>
      <c r="C12" s="171" t="s">
        <v>111</v>
      </c>
      <c r="D12" s="404" t="s">
        <v>147</v>
      </c>
      <c r="E12" s="405"/>
      <c r="F12" s="405"/>
      <c r="G12" s="406"/>
      <c r="H12" s="172" t="s">
        <v>112</v>
      </c>
      <c r="I12" s="172" t="s">
        <v>113</v>
      </c>
      <c r="J12" s="173" t="s">
        <v>114</v>
      </c>
      <c r="K12" s="174" t="s">
        <v>115</v>
      </c>
      <c r="L12" s="174" t="s">
        <v>116</v>
      </c>
      <c r="M12" s="171" t="s">
        <v>146</v>
      </c>
      <c r="N12" s="172" t="s">
        <v>117</v>
      </c>
      <c r="O12" s="175" t="s">
        <v>118</v>
      </c>
      <c r="P12" s="176" t="s">
        <v>119</v>
      </c>
      <c r="Q12" s="176" t="s">
        <v>120</v>
      </c>
      <c r="R12" s="175" t="s">
        <v>121</v>
      </c>
    </row>
    <row r="13" spans="1:20" ht="15.75" thickBot="1">
      <c r="A13" s="159"/>
      <c r="B13" s="177">
        <v>90</v>
      </c>
      <c r="C13" s="178">
        <v>12</v>
      </c>
      <c r="D13" s="407">
        <f>Corrida!U50</f>
        <v>160.33333333333334</v>
      </c>
      <c r="E13" s="408"/>
      <c r="F13" s="408"/>
      <c r="G13" s="409"/>
      <c r="H13" s="220">
        <f>Corrida!R50</f>
        <v>87.06783999999999</v>
      </c>
      <c r="I13" s="208">
        <f>Corrida!M50</f>
        <v>29.757800000000316</v>
      </c>
      <c r="J13" s="208">
        <f>O13+R13</f>
        <v>377.34248439998856</v>
      </c>
      <c r="K13" s="208">
        <f>N13*P13%</f>
        <v>18.001315599999234</v>
      </c>
      <c r="L13" s="208">
        <f>Corrida!D50</f>
        <v>395.34379999998782</v>
      </c>
      <c r="M13" s="207">
        <f>P13+J23</f>
        <v>6.1999999999999966</v>
      </c>
      <c r="N13" s="224">
        <f>L13-R13</f>
        <v>290.34379999998782</v>
      </c>
      <c r="O13" s="225">
        <f>N13-K13</f>
        <v>272.34248439998856</v>
      </c>
      <c r="P13" s="208">
        <f>Corrida!I50</f>
        <v>6.1999999999999966</v>
      </c>
      <c r="Q13" s="208">
        <f>(I13/O13)*1000</f>
        <v>109.26609583356495</v>
      </c>
      <c r="R13" s="226">
        <f>Corrida!K49</f>
        <v>105</v>
      </c>
    </row>
    <row r="14" spans="1:20" ht="16.5" thickBot="1">
      <c r="A14" s="159"/>
      <c r="B14" s="179" t="s">
        <v>122</v>
      </c>
      <c r="C14" s="410" t="s">
        <v>158</v>
      </c>
      <c r="D14" s="411"/>
      <c r="E14" s="412"/>
      <c r="F14" s="180"/>
      <c r="G14" s="180"/>
      <c r="H14" s="181"/>
      <c r="I14" s="181" t="s">
        <v>123</v>
      </c>
      <c r="J14" s="181"/>
      <c r="K14" s="181"/>
      <c r="L14" s="181"/>
      <c r="M14" s="181"/>
      <c r="N14" s="181"/>
      <c r="O14" s="181"/>
      <c r="P14" s="181"/>
      <c r="Q14" s="181"/>
      <c r="R14" s="181"/>
    </row>
    <row r="15" spans="1:20">
      <c r="A15" s="159"/>
      <c r="B15" s="159"/>
      <c r="C15" s="419"/>
      <c r="D15" s="419"/>
      <c r="E15" s="419"/>
      <c r="F15" s="159"/>
      <c r="G15" s="159"/>
      <c r="H15" s="159"/>
      <c r="S15" s="159"/>
      <c r="T15" s="159"/>
    </row>
    <row r="16" spans="1:20">
      <c r="A16" s="159"/>
      <c r="B16" s="159"/>
      <c r="C16" s="159"/>
      <c r="D16" s="159"/>
      <c r="E16" s="159"/>
      <c r="F16" s="159"/>
      <c r="G16" s="159"/>
      <c r="H16" s="159"/>
      <c r="O16" s="203"/>
      <c r="S16" s="159"/>
      <c r="T16" s="159"/>
    </row>
    <row r="17" spans="2:19" ht="15.75" thickBot="1"/>
    <row r="18" spans="2:19" ht="15.75" thickBot="1">
      <c r="B18" s="486" t="s">
        <v>144</v>
      </c>
      <c r="C18" s="487"/>
      <c r="D18" s="487"/>
      <c r="E18" s="488"/>
    </row>
    <row r="19" spans="2:19" ht="24.75" customHeight="1" thickBot="1">
      <c r="B19" s="231" t="s">
        <v>161</v>
      </c>
      <c r="C19" s="232">
        <v>90</v>
      </c>
      <c r="D19" s="233"/>
      <c r="E19" s="234" t="s">
        <v>155</v>
      </c>
      <c r="F19" s="182"/>
      <c r="G19" s="183"/>
      <c r="H19" s="413" t="s">
        <v>27</v>
      </c>
      <c r="I19" s="414"/>
      <c r="J19" s="415"/>
      <c r="L19" s="416" t="s">
        <v>124</v>
      </c>
      <c r="M19" s="417"/>
      <c r="N19" s="417"/>
      <c r="O19" s="417"/>
      <c r="P19" s="417"/>
      <c r="Q19" s="417"/>
      <c r="R19" s="418"/>
    </row>
    <row r="20" spans="2:19" ht="14.25" customHeight="1" thickBot="1">
      <c r="B20" s="231" t="s">
        <v>125</v>
      </c>
      <c r="C20" s="235">
        <v>664</v>
      </c>
      <c r="D20" s="233"/>
      <c r="E20" s="236" t="s">
        <v>126</v>
      </c>
      <c r="F20" s="184"/>
      <c r="G20" s="183"/>
      <c r="H20" s="484" t="s">
        <v>31</v>
      </c>
      <c r="I20" s="485"/>
      <c r="J20" s="219">
        <v>8.5</v>
      </c>
      <c r="L20" s="185" t="s">
        <v>127</v>
      </c>
      <c r="M20" s="186" t="s">
        <v>9</v>
      </c>
      <c r="N20" s="186" t="s">
        <v>3</v>
      </c>
      <c r="O20" s="187" t="s">
        <v>128</v>
      </c>
      <c r="P20" s="187" t="s">
        <v>129</v>
      </c>
      <c r="Q20" s="188" t="s">
        <v>130</v>
      </c>
      <c r="R20" s="186" t="s">
        <v>3</v>
      </c>
    </row>
    <row r="21" spans="2:19" ht="15.75" customHeight="1" thickBot="1">
      <c r="B21" s="231" t="s">
        <v>131</v>
      </c>
      <c r="C21" s="235">
        <v>88.4</v>
      </c>
      <c r="D21" s="237"/>
      <c r="E21" s="236" t="s">
        <v>132</v>
      </c>
      <c r="F21" s="157"/>
      <c r="G21" s="189"/>
      <c r="H21" s="476" t="s">
        <v>35</v>
      </c>
      <c r="I21" s="477"/>
      <c r="J21" s="219">
        <v>16.5</v>
      </c>
      <c r="L21" s="190">
        <v>1</v>
      </c>
      <c r="M21" s="227">
        <v>0.83333333333333337</v>
      </c>
      <c r="N21" s="228">
        <v>46073</v>
      </c>
      <c r="O21" s="229">
        <v>6.4</v>
      </c>
      <c r="P21" s="229">
        <v>0.2</v>
      </c>
      <c r="Q21" s="230">
        <v>0.95833333333333337</v>
      </c>
      <c r="R21" s="228">
        <v>46073</v>
      </c>
    </row>
    <row r="22" spans="2:19" ht="15.75" thickBot="1">
      <c r="B22" s="231" t="s">
        <v>162</v>
      </c>
      <c r="C22" s="235">
        <v>9.44</v>
      </c>
      <c r="D22" s="237"/>
      <c r="E22" s="234" t="s">
        <v>163</v>
      </c>
      <c r="F22" s="189"/>
      <c r="G22" s="191"/>
      <c r="H22" s="476" t="s">
        <v>39</v>
      </c>
      <c r="I22" s="477"/>
      <c r="J22" s="219">
        <v>42</v>
      </c>
      <c r="L22" s="190">
        <v>2</v>
      </c>
      <c r="M22" s="227">
        <v>0</v>
      </c>
      <c r="N22" s="228">
        <v>46074</v>
      </c>
      <c r="O22" s="229">
        <v>6</v>
      </c>
      <c r="P22" s="229">
        <v>0.2</v>
      </c>
      <c r="Q22" s="230">
        <v>0.125</v>
      </c>
      <c r="R22" s="228">
        <v>46074</v>
      </c>
    </row>
    <row r="23" spans="2:19" ht="15.75" thickBot="1">
      <c r="B23" s="231" t="s">
        <v>133</v>
      </c>
      <c r="C23" s="232">
        <v>171</v>
      </c>
      <c r="D23" s="237"/>
      <c r="E23" s="234" t="s">
        <v>5</v>
      </c>
      <c r="F23" s="189"/>
      <c r="G23" s="191"/>
      <c r="H23" s="192" t="s">
        <v>45</v>
      </c>
      <c r="I23" s="193"/>
      <c r="J23" s="209">
        <v>0</v>
      </c>
      <c r="L23" s="190">
        <v>3</v>
      </c>
      <c r="M23" s="227">
        <v>0.16666666666666666</v>
      </c>
      <c r="N23" s="228">
        <v>46074</v>
      </c>
      <c r="O23" s="229">
        <v>6.2</v>
      </c>
      <c r="P23" s="229">
        <v>0.2</v>
      </c>
      <c r="Q23" s="230">
        <v>0.29166666666666669</v>
      </c>
      <c r="R23" s="228">
        <v>46074</v>
      </c>
    </row>
    <row r="24" spans="2:19">
      <c r="B24" s="238" t="s">
        <v>134</v>
      </c>
      <c r="C24" s="239">
        <v>166</v>
      </c>
      <c r="D24" s="240"/>
      <c r="E24" s="241" t="s">
        <v>5</v>
      </c>
      <c r="F24" s="194"/>
      <c r="G24" s="191"/>
      <c r="L24" s="218"/>
      <c r="M24" s="218"/>
      <c r="N24" s="218"/>
      <c r="O24" s="218"/>
      <c r="P24" s="218"/>
      <c r="Q24" s="218"/>
      <c r="R24" s="218"/>
    </row>
    <row r="25" spans="2:19" ht="15.75" thickBot="1">
      <c r="B25" s="242" t="s">
        <v>164</v>
      </c>
      <c r="C25" s="243">
        <v>155</v>
      </c>
      <c r="D25" s="244"/>
      <c r="E25" s="245" t="s">
        <v>5</v>
      </c>
      <c r="F25" s="189"/>
      <c r="G25" s="191"/>
      <c r="H25" s="189"/>
    </row>
    <row r="26" spans="2:19" ht="15.75" thickBot="1">
      <c r="D26" s="189"/>
      <c r="E26" s="189"/>
      <c r="F26" s="183"/>
      <c r="G26" s="191"/>
      <c r="H26" s="191"/>
      <c r="N26" s="195"/>
    </row>
    <row r="27" spans="2:19">
      <c r="B27" s="455" t="s">
        <v>135</v>
      </c>
      <c r="C27" s="456"/>
      <c r="D27" s="456"/>
      <c r="E27" s="456"/>
      <c r="F27" s="456"/>
      <c r="G27" s="456"/>
      <c r="H27" s="457"/>
      <c r="I27" s="455" t="s">
        <v>90</v>
      </c>
      <c r="J27" s="456"/>
      <c r="K27" s="456"/>
      <c r="L27" s="456"/>
      <c r="M27" s="456"/>
      <c r="N27" s="457"/>
      <c r="O27" s="478" t="s">
        <v>91</v>
      </c>
      <c r="P27" s="479"/>
      <c r="Q27" s="479"/>
      <c r="R27" s="479"/>
      <c r="S27" s="480"/>
    </row>
    <row r="28" spans="2:19">
      <c r="B28" s="458"/>
      <c r="C28" s="459"/>
      <c r="D28" s="459"/>
      <c r="E28" s="459"/>
      <c r="F28" s="459"/>
      <c r="G28" s="459"/>
      <c r="H28" s="460"/>
      <c r="I28" s="458"/>
      <c r="J28" s="459"/>
      <c r="K28" s="459"/>
      <c r="L28" s="459"/>
      <c r="M28" s="459"/>
      <c r="N28" s="460"/>
      <c r="O28" s="481" t="s">
        <v>92</v>
      </c>
      <c r="P28" s="482"/>
      <c r="Q28" s="482"/>
      <c r="R28" s="482"/>
      <c r="S28" s="483"/>
    </row>
    <row r="29" spans="2:19">
      <c r="B29" s="196" t="s">
        <v>93</v>
      </c>
      <c r="C29" s="393"/>
      <c r="D29" s="394"/>
      <c r="E29" s="394"/>
      <c r="F29" s="394"/>
      <c r="G29" s="394"/>
      <c r="H29" s="395"/>
      <c r="I29" s="396" t="s">
        <v>93</v>
      </c>
      <c r="J29" s="397"/>
      <c r="K29" s="398"/>
      <c r="L29" s="399"/>
      <c r="M29" s="399"/>
      <c r="N29" s="400"/>
      <c r="O29" s="396" t="s">
        <v>93</v>
      </c>
      <c r="P29" s="397"/>
      <c r="Q29" s="401"/>
      <c r="R29" s="402"/>
      <c r="S29" s="403"/>
    </row>
    <row r="30" spans="2:19">
      <c r="B30" s="197" t="s">
        <v>94</v>
      </c>
      <c r="C30" s="443" t="s">
        <v>95</v>
      </c>
      <c r="D30" s="444"/>
      <c r="E30" s="444"/>
      <c r="F30" s="444"/>
      <c r="G30" s="444"/>
      <c r="H30" s="445"/>
      <c r="I30" s="420" t="s">
        <v>94</v>
      </c>
      <c r="J30" s="421"/>
      <c r="K30" s="443" t="s">
        <v>96</v>
      </c>
      <c r="L30" s="444"/>
      <c r="M30" s="444"/>
      <c r="N30" s="445"/>
      <c r="O30" s="420" t="s">
        <v>94</v>
      </c>
      <c r="P30" s="421"/>
      <c r="Q30" s="422"/>
      <c r="R30" s="423"/>
      <c r="S30" s="424"/>
    </row>
    <row r="31" spans="2:19">
      <c r="B31" s="197" t="s">
        <v>97</v>
      </c>
      <c r="C31" s="425"/>
      <c r="D31" s="426"/>
      <c r="E31" s="426"/>
      <c r="F31" s="426"/>
      <c r="G31" s="426"/>
      <c r="H31" s="427"/>
      <c r="I31" s="420" t="s">
        <v>97</v>
      </c>
      <c r="J31" s="421"/>
      <c r="K31" s="425"/>
      <c r="L31" s="426"/>
      <c r="M31" s="426"/>
      <c r="N31" s="427"/>
      <c r="O31" s="420" t="s">
        <v>97</v>
      </c>
      <c r="P31" s="421"/>
      <c r="Q31" s="422"/>
      <c r="R31" s="423"/>
      <c r="S31" s="424"/>
    </row>
    <row r="32" spans="2:19" ht="15.75" thickBot="1">
      <c r="B32" s="198" t="s">
        <v>98</v>
      </c>
      <c r="C32" s="428" t="str">
        <f>H10</f>
        <v>20/02/2026</v>
      </c>
      <c r="D32" s="429"/>
      <c r="E32" s="429"/>
      <c r="F32" s="429"/>
      <c r="G32" s="429"/>
      <c r="H32" s="430"/>
      <c r="I32" s="431" t="s">
        <v>98</v>
      </c>
      <c r="J32" s="432"/>
      <c r="K32" s="433"/>
      <c r="L32" s="434"/>
      <c r="M32" s="434"/>
      <c r="N32" s="435"/>
      <c r="O32" s="431" t="s">
        <v>98</v>
      </c>
      <c r="P32" s="432"/>
      <c r="Q32" s="436"/>
      <c r="R32" s="437"/>
      <c r="S32" s="438"/>
    </row>
    <row r="33" spans="2:2">
      <c r="B33" s="199"/>
    </row>
  </sheetData>
  <mergeCells count="50">
    <mergeCell ref="P3:S3"/>
    <mergeCell ref="P4:S4"/>
    <mergeCell ref="P5:S5"/>
    <mergeCell ref="P6:S6"/>
    <mergeCell ref="M9:R11"/>
    <mergeCell ref="I27:N28"/>
    <mergeCell ref="B7:T7"/>
    <mergeCell ref="B8:T8"/>
    <mergeCell ref="D9:G9"/>
    <mergeCell ref="J9:L9"/>
    <mergeCell ref="B3:D6"/>
    <mergeCell ref="B27:H28"/>
    <mergeCell ref="E3:O6"/>
    <mergeCell ref="D10:G11"/>
    <mergeCell ref="H21:I21"/>
    <mergeCell ref="H22:I22"/>
    <mergeCell ref="O27:S27"/>
    <mergeCell ref="O28:S28"/>
    <mergeCell ref="H20:I20"/>
    <mergeCell ref="B18:E18"/>
    <mergeCell ref="C32:H32"/>
    <mergeCell ref="I32:J32"/>
    <mergeCell ref="K32:N32"/>
    <mergeCell ref="O32:P32"/>
    <mergeCell ref="Q32:S32"/>
    <mergeCell ref="B10:B11"/>
    <mergeCell ref="C10:C11"/>
    <mergeCell ref="C30:H30"/>
    <mergeCell ref="I30:J30"/>
    <mergeCell ref="K30:N30"/>
    <mergeCell ref="O30:P30"/>
    <mergeCell ref="Q30:S30"/>
    <mergeCell ref="C31:H31"/>
    <mergeCell ref="I31:J31"/>
    <mergeCell ref="K31:N31"/>
    <mergeCell ref="O31:P31"/>
    <mergeCell ref="Q31:S31"/>
    <mergeCell ref="Q29:S29"/>
    <mergeCell ref="D12:G12"/>
    <mergeCell ref="D13:G13"/>
    <mergeCell ref="C14:E14"/>
    <mergeCell ref="H19:J19"/>
    <mergeCell ref="L19:R19"/>
    <mergeCell ref="C15:E15"/>
    <mergeCell ref="K10:L10"/>
    <mergeCell ref="K11:L11"/>
    <mergeCell ref="C29:H29"/>
    <mergeCell ref="I29:J29"/>
    <mergeCell ref="K29:N29"/>
    <mergeCell ref="O29:P29"/>
  </mergeCells>
  <printOptions horizontalCentered="1"/>
  <pageMargins left="0.98425196850393704" right="0.39370078740157483" top="0.98425196850393704" bottom="0.98425196850393704" header="0" footer="0"/>
  <pageSetup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7332-CEED-4161-994E-BBFBB54F680B}">
  <sheetPr>
    <tabColor rgb="FF92D050"/>
    <pageSetUpPr fitToPage="1"/>
  </sheetPr>
  <dimension ref="B1:Z141"/>
  <sheetViews>
    <sheetView tabSelected="1" view="pageLayout" zoomScale="90" zoomScaleNormal="50" zoomScalePageLayoutView="90" workbookViewId="0">
      <selection activeCell="B2" sqref="B2:Y50"/>
    </sheetView>
  </sheetViews>
  <sheetFormatPr baseColWidth="10" defaultRowHeight="15"/>
  <cols>
    <col min="1" max="1" width="0.7109375" style="133" customWidth="1"/>
    <col min="2" max="2" width="10.7109375" style="133" customWidth="1"/>
    <col min="3" max="3" width="7.7109375" style="133" customWidth="1"/>
    <col min="4" max="4" width="8.42578125" style="133" bestFit="1" customWidth="1"/>
    <col min="5" max="11" width="7.7109375" style="133" customWidth="1"/>
    <col min="12" max="12" width="10.28515625" style="133" customWidth="1"/>
    <col min="13" max="13" width="7.7109375" style="133" customWidth="1"/>
    <col min="14" max="14" width="11" style="133" bestFit="1" customWidth="1"/>
    <col min="15" max="15" width="7.7109375" style="133" hidden="1" customWidth="1"/>
    <col min="16" max="16" width="10.28515625" style="133" customWidth="1"/>
    <col min="17" max="17" width="8.28515625" style="133" customWidth="1"/>
    <col min="18" max="22" width="7.7109375" style="133" customWidth="1"/>
    <col min="23" max="16384" width="11.42578125" style="133"/>
  </cols>
  <sheetData>
    <row r="1" spans="2:25" ht="15.75" thickBot="1"/>
    <row r="2" spans="2:25" s="134" customFormat="1" ht="15.75" customHeight="1" thickBot="1">
      <c r="B2" s="566"/>
      <c r="C2" s="567"/>
      <c r="D2" s="567"/>
      <c r="E2" s="567"/>
      <c r="F2" s="568"/>
      <c r="G2" s="583" t="s">
        <v>136</v>
      </c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5"/>
      <c r="W2" s="532" t="s">
        <v>148</v>
      </c>
      <c r="X2" s="533"/>
      <c r="Y2" s="534"/>
    </row>
    <row r="3" spans="2:25" s="134" customFormat="1" ht="15.75" customHeight="1" thickBot="1">
      <c r="B3" s="569"/>
      <c r="C3" s="570"/>
      <c r="D3" s="570"/>
      <c r="E3" s="570"/>
      <c r="F3" s="571"/>
      <c r="G3" s="586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8"/>
      <c r="W3" s="532" t="s">
        <v>149</v>
      </c>
      <c r="X3" s="533"/>
      <c r="Y3" s="534"/>
    </row>
    <row r="4" spans="2:25" s="134" customFormat="1" ht="15.75" customHeight="1" thickBot="1">
      <c r="B4" s="569"/>
      <c r="C4" s="570"/>
      <c r="D4" s="570"/>
      <c r="E4" s="570"/>
      <c r="F4" s="571"/>
      <c r="G4" s="586"/>
      <c r="H4" s="587"/>
      <c r="I4" s="587"/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  <c r="V4" s="588"/>
      <c r="W4" s="535" t="s">
        <v>152</v>
      </c>
      <c r="X4" s="536"/>
      <c r="Y4" s="537"/>
    </row>
    <row r="5" spans="2:25" s="134" customFormat="1" ht="15.75" customHeight="1" thickBot="1">
      <c r="B5" s="572"/>
      <c r="C5" s="573"/>
      <c r="D5" s="573"/>
      <c r="E5" s="573"/>
      <c r="F5" s="574"/>
      <c r="G5" s="589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1"/>
      <c r="W5" s="535" t="s">
        <v>153</v>
      </c>
      <c r="X5" s="536"/>
      <c r="Y5" s="537"/>
    </row>
    <row r="6" spans="2:25" s="134" customFormat="1" ht="18.75" customHeight="1" thickBot="1">
      <c r="B6" s="575" t="s">
        <v>165</v>
      </c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7"/>
      <c r="O6" s="538" t="s">
        <v>22</v>
      </c>
      <c r="P6" s="582"/>
      <c r="Q6" s="539"/>
      <c r="R6" s="538" t="s">
        <v>23</v>
      </c>
      <c r="S6" s="539"/>
      <c r="T6" s="524" t="s">
        <v>24</v>
      </c>
      <c r="U6" s="525"/>
      <c r="V6" s="525"/>
      <c r="W6" s="525"/>
      <c r="X6" s="525"/>
      <c r="Y6" s="526"/>
    </row>
    <row r="7" spans="2:25" s="134" customFormat="1" ht="18.75" customHeight="1" thickBot="1">
      <c r="B7" s="578"/>
      <c r="C7" s="579"/>
      <c r="D7" s="579"/>
      <c r="E7" s="579"/>
      <c r="F7" s="579"/>
      <c r="G7" s="579"/>
      <c r="H7" s="579"/>
      <c r="I7" s="579"/>
      <c r="J7" s="579"/>
      <c r="K7" s="579"/>
      <c r="L7" s="579"/>
      <c r="M7" s="579"/>
      <c r="N7" s="580"/>
      <c r="O7" s="551">
        <v>4620023437</v>
      </c>
      <c r="P7" s="552"/>
      <c r="Q7" s="553"/>
      <c r="R7" s="543" t="str">
        <f>B13</f>
        <v>20/02/2026</v>
      </c>
      <c r="S7" s="544"/>
      <c r="T7" s="527" t="s">
        <v>172</v>
      </c>
      <c r="U7" s="528"/>
      <c r="V7" s="528"/>
      <c r="W7" s="528"/>
      <c r="X7" s="528"/>
      <c r="Y7" s="529"/>
    </row>
    <row r="8" spans="2:25" s="134" customFormat="1" ht="14.25" customHeight="1">
      <c r="B8" s="135" t="s">
        <v>47</v>
      </c>
      <c r="C8" s="545" t="s">
        <v>167</v>
      </c>
      <c r="D8" s="545"/>
      <c r="E8" s="545"/>
      <c r="F8" s="137" t="s">
        <v>48</v>
      </c>
      <c r="G8" s="546" t="s">
        <v>166</v>
      </c>
      <c r="H8" s="546"/>
      <c r="I8" s="546"/>
      <c r="J8" s="139" t="s">
        <v>49</v>
      </c>
      <c r="K8" s="547" t="s">
        <v>170</v>
      </c>
      <c r="L8" s="547"/>
      <c r="M8" s="140"/>
      <c r="N8" s="141" t="s">
        <v>50</v>
      </c>
      <c r="O8" s="138" t="e">
        <f>#REF!</f>
        <v>#REF!</v>
      </c>
      <c r="P8" s="137" t="s">
        <v>51</v>
      </c>
      <c r="Q8" s="548"/>
      <c r="R8" s="548"/>
      <c r="S8" s="549" t="s">
        <v>137</v>
      </c>
      <c r="T8" s="550"/>
      <c r="U8" s="521"/>
      <c r="V8" s="522"/>
      <c r="W8" s="522"/>
      <c r="X8" s="522"/>
      <c r="Y8" s="523"/>
    </row>
    <row r="9" spans="2:25" s="134" customFormat="1" ht="14.25" customHeight="1">
      <c r="B9" s="135"/>
      <c r="C9" s="136"/>
      <c r="D9" s="581" t="s">
        <v>69</v>
      </c>
      <c r="E9" s="581"/>
      <c r="F9" s="137"/>
      <c r="G9" s="138"/>
      <c r="H9" s="138"/>
      <c r="I9" s="138"/>
      <c r="J9" s="139"/>
      <c r="K9" s="216" t="s">
        <v>57</v>
      </c>
      <c r="L9" s="217"/>
      <c r="M9" s="140"/>
      <c r="N9" s="141"/>
      <c r="O9" s="138"/>
      <c r="P9" s="137"/>
      <c r="Q9" s="518"/>
      <c r="R9" s="519"/>
      <c r="S9" s="519"/>
      <c r="T9" s="519"/>
      <c r="U9" s="519"/>
      <c r="V9" s="519"/>
      <c r="W9" s="519"/>
      <c r="X9" s="519"/>
      <c r="Y9" s="520"/>
    </row>
    <row r="10" spans="2:25" ht="14.25" customHeight="1">
      <c r="B10" s="143" t="s">
        <v>138</v>
      </c>
      <c r="C10" s="142"/>
      <c r="D10" s="581" t="s">
        <v>14</v>
      </c>
      <c r="E10" s="581"/>
      <c r="F10" s="563" t="s">
        <v>54</v>
      </c>
      <c r="G10" s="564"/>
      <c r="H10" s="565"/>
      <c r="I10" s="144" t="s">
        <v>55</v>
      </c>
      <c r="J10" s="144" t="s">
        <v>56</v>
      </c>
      <c r="K10" s="216" t="s">
        <v>14</v>
      </c>
      <c r="L10" s="216"/>
      <c r="M10" s="145" t="s">
        <v>14</v>
      </c>
      <c r="N10" s="146" t="s">
        <v>139</v>
      </c>
      <c r="O10" s="145" t="s">
        <v>59</v>
      </c>
      <c r="P10" s="145" t="s">
        <v>58</v>
      </c>
      <c r="Q10" s="147" t="s">
        <v>61</v>
      </c>
      <c r="R10" s="142" t="s">
        <v>62</v>
      </c>
      <c r="S10" s="142" t="s">
        <v>63</v>
      </c>
      <c r="T10" s="142" t="s">
        <v>64</v>
      </c>
      <c r="U10" s="142" t="s">
        <v>65</v>
      </c>
      <c r="V10" s="142" t="s">
        <v>173</v>
      </c>
      <c r="W10" s="142" t="s">
        <v>174</v>
      </c>
      <c r="X10" s="142" t="s">
        <v>175</v>
      </c>
      <c r="Y10" s="142" t="s">
        <v>176</v>
      </c>
    </row>
    <row r="11" spans="2:25" ht="13.5" customHeight="1">
      <c r="B11" s="142" t="s">
        <v>82</v>
      </c>
      <c r="C11" s="142" t="s">
        <v>140</v>
      </c>
      <c r="D11" s="142" t="s">
        <v>156</v>
      </c>
      <c r="E11" s="148" t="s">
        <v>141</v>
      </c>
      <c r="F11" s="148" t="s">
        <v>69</v>
      </c>
      <c r="G11" s="148" t="s">
        <v>70</v>
      </c>
      <c r="H11" s="148" t="s">
        <v>73</v>
      </c>
      <c r="I11" s="144" t="s">
        <v>157</v>
      </c>
      <c r="J11" s="144" t="s">
        <v>72</v>
      </c>
      <c r="K11" s="142" t="s">
        <v>99</v>
      </c>
      <c r="L11" s="142"/>
      <c r="M11" s="145" t="s">
        <v>13</v>
      </c>
      <c r="N11" s="146" t="s">
        <v>145</v>
      </c>
      <c r="O11" s="145" t="s">
        <v>74</v>
      </c>
      <c r="P11" s="145" t="s">
        <v>75</v>
      </c>
      <c r="Q11" s="147" t="s">
        <v>76</v>
      </c>
      <c r="R11" s="142" t="s">
        <v>7</v>
      </c>
      <c r="S11" s="142" t="s">
        <v>1</v>
      </c>
      <c r="T11" s="142" t="s">
        <v>1</v>
      </c>
      <c r="U11" s="142" t="s">
        <v>1</v>
      </c>
      <c r="V11" s="540"/>
      <c r="W11" s="541"/>
      <c r="X11" s="541"/>
      <c r="Y11" s="542"/>
    </row>
    <row r="12" spans="2:25" ht="13.5" customHeight="1">
      <c r="B12" s="530" t="s">
        <v>142</v>
      </c>
      <c r="C12" s="530"/>
      <c r="D12" s="530"/>
      <c r="E12" s="530"/>
      <c r="F12" s="530"/>
      <c r="G12" s="530"/>
      <c r="H12" s="530"/>
      <c r="I12" s="530"/>
      <c r="J12" s="530"/>
      <c r="K12" s="530"/>
      <c r="L12" s="530"/>
      <c r="M12" s="530"/>
      <c r="N12" s="530"/>
      <c r="O12" s="530"/>
      <c r="P12" s="530"/>
      <c r="Q12" s="530"/>
      <c r="R12" s="530"/>
      <c r="S12" s="530"/>
      <c r="T12" s="530"/>
      <c r="U12" s="531"/>
      <c r="V12" s="515"/>
      <c r="W12" s="516"/>
      <c r="X12" s="516"/>
      <c r="Y12" s="517"/>
    </row>
    <row r="13" spans="2:25">
      <c r="B13" s="149" t="s">
        <v>168</v>
      </c>
      <c r="C13" s="150">
        <v>0.83333333333333337</v>
      </c>
      <c r="D13" s="221">
        <v>60124.378900000003</v>
      </c>
      <c r="E13" s="560"/>
      <c r="F13" s="561"/>
      <c r="G13" s="561"/>
      <c r="H13" s="561"/>
      <c r="I13" s="561"/>
      <c r="J13" s="562"/>
      <c r="K13" s="151">
        <v>105</v>
      </c>
      <c r="L13" s="222"/>
      <c r="M13" s="223">
        <v>2662.5686000000001</v>
      </c>
      <c r="N13" s="557"/>
      <c r="O13" s="558"/>
      <c r="P13" s="558"/>
      <c r="Q13" s="559"/>
      <c r="R13" s="151">
        <v>89.361680000000007</v>
      </c>
      <c r="S13" s="151">
        <v>171.5</v>
      </c>
      <c r="T13" s="151">
        <v>166</v>
      </c>
      <c r="U13" s="151">
        <v>160</v>
      </c>
      <c r="V13" s="151">
        <v>89.2</v>
      </c>
      <c r="W13" s="151">
        <v>9.6999999999999993</v>
      </c>
      <c r="X13" s="151">
        <v>681</v>
      </c>
      <c r="Y13" s="151">
        <v>90</v>
      </c>
    </row>
    <row r="14" spans="2:25">
      <c r="B14" s="149" t="s">
        <v>168</v>
      </c>
      <c r="C14" s="150">
        <v>0.84722222222222221</v>
      </c>
      <c r="D14" s="221">
        <v>60130.449200000003</v>
      </c>
      <c r="E14" s="210">
        <f>(D14-D13)*3</f>
        <v>18.210899999998219</v>
      </c>
      <c r="F14" s="210">
        <f>E14*24</f>
        <v>437.06159999995725</v>
      </c>
      <c r="G14" s="210">
        <f>F14-K14</f>
        <v>332.06159999995725</v>
      </c>
      <c r="H14" s="210">
        <f>G14-J14</f>
        <v>311.47378079995991</v>
      </c>
      <c r="I14" s="151">
        <v>6.2</v>
      </c>
      <c r="J14" s="211">
        <f>G14*I14%</f>
        <v>20.587819199997348</v>
      </c>
      <c r="K14" s="151">
        <v>105</v>
      </c>
      <c r="L14" s="212"/>
      <c r="M14" s="223">
        <v>2663.6504</v>
      </c>
      <c r="N14" s="210">
        <f>(M14-M13)*3</f>
        <v>3.2453999999997905</v>
      </c>
      <c r="O14" s="212"/>
      <c r="P14" s="210">
        <f>N14*24</f>
        <v>77.889599999994971</v>
      </c>
      <c r="Q14" s="210">
        <f>(P14/H14)*1000</f>
        <v>250.06791839733881</v>
      </c>
      <c r="R14" s="151">
        <v>90.089060000000003</v>
      </c>
      <c r="S14" s="151">
        <v>171.5</v>
      </c>
      <c r="T14" s="151">
        <v>166</v>
      </c>
      <c r="U14" s="151">
        <v>157.5</v>
      </c>
      <c r="V14" s="151">
        <v>88.2</v>
      </c>
      <c r="W14" s="151">
        <v>9.44</v>
      </c>
      <c r="X14" s="151">
        <v>660</v>
      </c>
      <c r="Y14" s="151">
        <v>90</v>
      </c>
    </row>
    <row r="15" spans="2:25">
      <c r="B15" s="149" t="s">
        <v>168</v>
      </c>
      <c r="C15" s="150">
        <v>0.86111111111111116</v>
      </c>
      <c r="D15" s="221">
        <v>60135.789100000002</v>
      </c>
      <c r="E15" s="210">
        <f t="shared" ref="E15:E48" si="0">(D15-D14)*3</f>
        <v>16.019699999997101</v>
      </c>
      <c r="F15" s="210">
        <f t="shared" ref="F15:F49" si="1">E15*24</f>
        <v>384.47279999993043</v>
      </c>
      <c r="G15" s="210">
        <f t="shared" ref="G15:G49" si="2">F15-K15</f>
        <v>279.47279999993043</v>
      </c>
      <c r="H15" s="210">
        <f t="shared" ref="H15:H49" si="3">G15-J15</f>
        <v>262.14548639993473</v>
      </c>
      <c r="I15" s="151">
        <v>6.2</v>
      </c>
      <c r="J15" s="211">
        <f t="shared" ref="J15:J49" si="4">G15*I15%</f>
        <v>17.327313599995687</v>
      </c>
      <c r="K15" s="151">
        <v>105</v>
      </c>
      <c r="L15" s="212"/>
      <c r="M15" s="223">
        <v>2663.9351000000001</v>
      </c>
      <c r="N15" s="210">
        <f t="shared" ref="N15:N48" si="5">(M15-M14)*3</f>
        <v>0.85410000000047148</v>
      </c>
      <c r="O15" s="212"/>
      <c r="P15" s="210">
        <f t="shared" ref="P15:P36" si="6">N15*24</f>
        <v>20.498400000011316</v>
      </c>
      <c r="Q15" s="210">
        <f t="shared" ref="Q15:Q36" si="7">(P15/H15)*1000</f>
        <v>78.194747052552799</v>
      </c>
      <c r="R15" s="151">
        <v>90.156739999999999</v>
      </c>
      <c r="S15" s="151">
        <v>171.5</v>
      </c>
      <c r="T15" s="151">
        <v>166</v>
      </c>
      <c r="U15" s="151">
        <v>159.5</v>
      </c>
      <c r="V15" s="151">
        <v>88.2</v>
      </c>
      <c r="W15" s="151">
        <v>9.44</v>
      </c>
      <c r="X15" s="151">
        <v>660</v>
      </c>
      <c r="Y15" s="151">
        <v>90</v>
      </c>
    </row>
    <row r="16" spans="2:25">
      <c r="B16" s="149" t="s">
        <v>168</v>
      </c>
      <c r="C16" s="150">
        <v>0.875</v>
      </c>
      <c r="D16" s="221">
        <v>60141.417999999998</v>
      </c>
      <c r="E16" s="210">
        <f t="shared" si="0"/>
        <v>16.886699999988195</v>
      </c>
      <c r="F16" s="210">
        <f t="shared" si="1"/>
        <v>405.28079999971669</v>
      </c>
      <c r="G16" s="210">
        <f t="shared" si="2"/>
        <v>300.28079999971669</v>
      </c>
      <c r="H16" s="210">
        <f t="shared" si="3"/>
        <v>281.66339039973428</v>
      </c>
      <c r="I16" s="151">
        <v>6.2</v>
      </c>
      <c r="J16" s="211">
        <f t="shared" si="4"/>
        <v>18.617409599982434</v>
      </c>
      <c r="K16" s="151">
        <v>105</v>
      </c>
      <c r="L16" s="212"/>
      <c r="M16" s="223">
        <v>2664.1133</v>
      </c>
      <c r="N16" s="210">
        <f t="shared" si="5"/>
        <v>0.53459999999950014</v>
      </c>
      <c r="O16" s="212"/>
      <c r="P16" s="210">
        <f t="shared" si="6"/>
        <v>12.830399999988003</v>
      </c>
      <c r="Q16" s="210">
        <f t="shared" si="7"/>
        <v>45.552245827117289</v>
      </c>
      <c r="R16" s="151">
        <v>88.860739999999993</v>
      </c>
      <c r="S16" s="151">
        <v>174.3</v>
      </c>
      <c r="T16" s="151">
        <v>170</v>
      </c>
      <c r="U16" s="151">
        <v>159.5</v>
      </c>
      <c r="V16" s="151">
        <v>88.2</v>
      </c>
      <c r="W16" s="151">
        <v>9.44</v>
      </c>
      <c r="X16" s="151">
        <v>660</v>
      </c>
      <c r="Y16" s="151">
        <v>90</v>
      </c>
    </row>
    <row r="17" spans="2:25">
      <c r="B17" s="149" t="s">
        <v>168</v>
      </c>
      <c r="C17" s="150">
        <v>0.88888888888888884</v>
      </c>
      <c r="D17" s="221">
        <v>60148</v>
      </c>
      <c r="E17" s="210">
        <f t="shared" si="0"/>
        <v>19.746000000006461</v>
      </c>
      <c r="F17" s="210">
        <f t="shared" si="1"/>
        <v>473.90400000015507</v>
      </c>
      <c r="G17" s="210">
        <f t="shared" si="2"/>
        <v>368.90400000015507</v>
      </c>
      <c r="H17" s="210">
        <f t="shared" si="3"/>
        <v>346.03195200014545</v>
      </c>
      <c r="I17" s="151">
        <v>6.2</v>
      </c>
      <c r="J17" s="211">
        <f t="shared" si="4"/>
        <v>22.872048000009613</v>
      </c>
      <c r="K17" s="151">
        <v>105</v>
      </c>
      <c r="L17" s="212"/>
      <c r="M17" s="223">
        <v>2665.3368999999998</v>
      </c>
      <c r="N17" s="210">
        <f t="shared" si="5"/>
        <v>3.6707999999994172</v>
      </c>
      <c r="O17" s="212"/>
      <c r="P17" s="210">
        <f t="shared" si="6"/>
        <v>88.099199999986013</v>
      </c>
      <c r="Q17" s="210">
        <f t="shared" si="7"/>
        <v>254.59845395996544</v>
      </c>
      <c r="R17" s="151">
        <v>89.145499999999998</v>
      </c>
      <c r="S17" s="151">
        <v>174.3</v>
      </c>
      <c r="T17" s="151">
        <v>170</v>
      </c>
      <c r="U17" s="151">
        <v>159.5</v>
      </c>
      <c r="V17" s="151">
        <v>85.8</v>
      </c>
      <c r="W17" s="151">
        <v>8.74</v>
      </c>
      <c r="X17" s="151">
        <v>607</v>
      </c>
      <c r="Y17" s="151">
        <v>90</v>
      </c>
    </row>
    <row r="18" spans="2:25">
      <c r="B18" s="149" t="s">
        <v>168</v>
      </c>
      <c r="C18" s="150">
        <v>0.90277777777777779</v>
      </c>
      <c r="D18" s="221">
        <v>60153.792999999998</v>
      </c>
      <c r="E18" s="210">
        <f t="shared" si="0"/>
        <v>17.378999999993539</v>
      </c>
      <c r="F18" s="210">
        <f t="shared" si="1"/>
        <v>417.09599999984493</v>
      </c>
      <c r="G18" s="210">
        <f t="shared" si="2"/>
        <v>312.09599999984493</v>
      </c>
      <c r="H18" s="210">
        <f t="shared" si="3"/>
        <v>292.74604799985457</v>
      </c>
      <c r="I18" s="151">
        <v>6.2</v>
      </c>
      <c r="J18" s="211">
        <f t="shared" si="4"/>
        <v>19.349951999990385</v>
      </c>
      <c r="K18" s="151">
        <v>105</v>
      </c>
      <c r="L18" s="212"/>
      <c r="M18" s="223">
        <v>2665.3989000000001</v>
      </c>
      <c r="N18" s="210">
        <f t="shared" si="5"/>
        <v>0.18600000000105865</v>
      </c>
      <c r="O18" s="212"/>
      <c r="P18" s="210">
        <f t="shared" si="6"/>
        <v>4.4640000000254076</v>
      </c>
      <c r="Q18" s="210">
        <f t="shared" si="7"/>
        <v>15.248711401998586</v>
      </c>
      <c r="R18" s="151">
        <v>88.318039999999996</v>
      </c>
      <c r="S18" s="151">
        <v>174.3</v>
      </c>
      <c r="T18" s="151">
        <v>170</v>
      </c>
      <c r="U18" s="151">
        <v>162.5</v>
      </c>
      <c r="V18" s="151">
        <v>85.8</v>
      </c>
      <c r="W18" s="151">
        <v>8.74</v>
      </c>
      <c r="X18" s="151">
        <v>607</v>
      </c>
      <c r="Y18" s="151">
        <v>90</v>
      </c>
    </row>
    <row r="19" spans="2:25">
      <c r="B19" s="149" t="s">
        <v>168</v>
      </c>
      <c r="C19" s="150">
        <v>0.91666666666666663</v>
      </c>
      <c r="D19" s="221">
        <v>60159.882799999999</v>
      </c>
      <c r="E19" s="210">
        <f t="shared" si="0"/>
        <v>18.26940000000468</v>
      </c>
      <c r="F19" s="210">
        <f t="shared" si="1"/>
        <v>438.46560000011232</v>
      </c>
      <c r="G19" s="210">
        <f t="shared" si="2"/>
        <v>333.46560000011232</v>
      </c>
      <c r="H19" s="210">
        <f t="shared" si="3"/>
        <v>312.79073280010533</v>
      </c>
      <c r="I19" s="151">
        <v>6.2</v>
      </c>
      <c r="J19" s="211">
        <f t="shared" si="4"/>
        <v>20.674867200006965</v>
      </c>
      <c r="K19" s="151">
        <v>105</v>
      </c>
      <c r="L19" s="212"/>
      <c r="M19" s="223">
        <v>2666.3420000000001</v>
      </c>
      <c r="N19" s="210">
        <f t="shared" si="5"/>
        <v>2.8292999999998756</v>
      </c>
      <c r="O19" s="212"/>
      <c r="P19" s="210">
        <f t="shared" si="6"/>
        <v>67.903199999997014</v>
      </c>
      <c r="Q19" s="210">
        <f t="shared" si="7"/>
        <v>217.08827301923873</v>
      </c>
      <c r="R19" s="151">
        <v>88.592000000000013</v>
      </c>
      <c r="S19" s="151">
        <v>171</v>
      </c>
      <c r="T19" s="151">
        <v>169</v>
      </c>
      <c r="U19" s="151">
        <v>158.5</v>
      </c>
      <c r="V19" s="151">
        <v>85.8</v>
      </c>
      <c r="W19" s="151">
        <v>8.74</v>
      </c>
      <c r="X19" s="151">
        <v>607</v>
      </c>
      <c r="Y19" s="151">
        <v>90</v>
      </c>
    </row>
    <row r="20" spans="2:25">
      <c r="B20" s="149" t="s">
        <v>168</v>
      </c>
      <c r="C20" s="150">
        <v>0.93055555555555558</v>
      </c>
      <c r="D20" s="221">
        <v>60165.117200000001</v>
      </c>
      <c r="E20" s="210">
        <f t="shared" si="0"/>
        <v>15.703200000003562</v>
      </c>
      <c r="F20" s="210">
        <f t="shared" si="1"/>
        <v>376.8768000000855</v>
      </c>
      <c r="G20" s="210">
        <f t="shared" si="2"/>
        <v>271.8768000000855</v>
      </c>
      <c r="H20" s="210">
        <f t="shared" si="3"/>
        <v>255.0204384000802</v>
      </c>
      <c r="I20" s="151">
        <v>6.2</v>
      </c>
      <c r="J20" s="211">
        <f t="shared" si="4"/>
        <v>16.8563616000053</v>
      </c>
      <c r="K20" s="151">
        <v>105</v>
      </c>
      <c r="L20" s="212"/>
      <c r="M20" s="223">
        <v>2666.5585999999998</v>
      </c>
      <c r="N20" s="210">
        <f t="shared" si="5"/>
        <v>0.64979999999923166</v>
      </c>
      <c r="O20" s="212"/>
      <c r="P20" s="210">
        <f t="shared" si="6"/>
        <v>15.59519999998156</v>
      </c>
      <c r="Q20" s="210">
        <f t="shared" si="7"/>
        <v>61.152745630197522</v>
      </c>
      <c r="R20" s="151">
        <v>87.786680000000004</v>
      </c>
      <c r="S20" s="151">
        <v>171</v>
      </c>
      <c r="T20" s="151">
        <v>169</v>
      </c>
      <c r="U20" s="151">
        <v>158.5</v>
      </c>
      <c r="V20" s="151">
        <v>86.7</v>
      </c>
      <c r="W20" s="151">
        <v>9.09</v>
      </c>
      <c r="X20" s="151">
        <v>630</v>
      </c>
      <c r="Y20" s="151">
        <v>90</v>
      </c>
    </row>
    <row r="21" spans="2:25">
      <c r="B21" s="149" t="s">
        <v>168</v>
      </c>
      <c r="C21" s="150">
        <v>0.94444444444444442</v>
      </c>
      <c r="D21" s="221">
        <v>60170.492200000001</v>
      </c>
      <c r="E21" s="210">
        <f t="shared" si="0"/>
        <v>16.125</v>
      </c>
      <c r="F21" s="210">
        <f t="shared" si="1"/>
        <v>387</v>
      </c>
      <c r="G21" s="210">
        <f t="shared" si="2"/>
        <v>282</v>
      </c>
      <c r="H21" s="210">
        <f t="shared" si="3"/>
        <v>264.51600000000002</v>
      </c>
      <c r="I21" s="151">
        <v>6.2</v>
      </c>
      <c r="J21" s="211">
        <f t="shared" si="4"/>
        <v>17.483999999999998</v>
      </c>
      <c r="K21" s="151">
        <v>105</v>
      </c>
      <c r="L21" s="212"/>
      <c r="M21" s="223">
        <v>2666.665</v>
      </c>
      <c r="N21" s="210">
        <f t="shared" si="5"/>
        <v>0.31920000000036453</v>
      </c>
      <c r="O21" s="212"/>
      <c r="P21" s="210">
        <f>N21*24</f>
        <v>7.6608000000087486</v>
      </c>
      <c r="Q21" s="210">
        <f t="shared" si="7"/>
        <v>28.961575103240442</v>
      </c>
      <c r="R21" s="151">
        <v>87.299419999999998</v>
      </c>
      <c r="S21" s="151">
        <v>171</v>
      </c>
      <c r="T21" s="151">
        <v>169</v>
      </c>
      <c r="U21" s="151">
        <v>158.5</v>
      </c>
      <c r="V21" s="151">
        <v>86.7</v>
      </c>
      <c r="W21" s="151">
        <v>9.09</v>
      </c>
      <c r="X21" s="151">
        <v>630</v>
      </c>
      <c r="Y21" s="151">
        <v>90</v>
      </c>
    </row>
    <row r="22" spans="2:25">
      <c r="B22" s="149" t="s">
        <v>168</v>
      </c>
      <c r="C22" s="150">
        <v>0.95833333333333337</v>
      </c>
      <c r="D22" s="221">
        <v>60176.457000000002</v>
      </c>
      <c r="E22" s="210">
        <f t="shared" si="0"/>
        <v>17.89440000000468</v>
      </c>
      <c r="F22" s="210">
        <f t="shared" si="1"/>
        <v>429.46560000011232</v>
      </c>
      <c r="G22" s="210">
        <f t="shared" si="2"/>
        <v>324.46560000011232</v>
      </c>
      <c r="H22" s="210">
        <f t="shared" si="3"/>
        <v>304.34873280010538</v>
      </c>
      <c r="I22" s="151">
        <v>6.2</v>
      </c>
      <c r="J22" s="211">
        <f t="shared" si="4"/>
        <v>20.116867200006965</v>
      </c>
      <c r="K22" s="151">
        <v>105</v>
      </c>
      <c r="L22" s="212"/>
      <c r="M22" s="223">
        <v>2667.2755999999999</v>
      </c>
      <c r="N22" s="210">
        <f t="shared" si="5"/>
        <v>1.8317999999999302</v>
      </c>
      <c r="O22" s="212"/>
      <c r="P22" s="210">
        <f t="shared" si="6"/>
        <v>43.963199999998324</v>
      </c>
      <c r="Q22" s="210">
        <f t="shared" si="7"/>
        <v>144.45008393996869</v>
      </c>
      <c r="R22" s="151">
        <v>88.303100000000001</v>
      </c>
      <c r="S22" s="151">
        <v>170.03</v>
      </c>
      <c r="T22" s="151">
        <v>168.5</v>
      </c>
      <c r="U22" s="151">
        <v>160.5</v>
      </c>
      <c r="V22" s="151">
        <v>86.7</v>
      </c>
      <c r="W22" s="151">
        <v>9.09</v>
      </c>
      <c r="X22" s="151">
        <v>630</v>
      </c>
      <c r="Y22" s="151">
        <v>90</v>
      </c>
    </row>
    <row r="23" spans="2:25">
      <c r="B23" s="149" t="s">
        <v>168</v>
      </c>
      <c r="C23" s="150">
        <v>0.97222222222222221</v>
      </c>
      <c r="D23" s="221">
        <v>60181.292999999998</v>
      </c>
      <c r="E23" s="210">
        <f t="shared" si="0"/>
        <v>14.507999999987078</v>
      </c>
      <c r="F23" s="210">
        <f t="shared" si="1"/>
        <v>348.19199999968987</v>
      </c>
      <c r="G23" s="210">
        <f t="shared" si="2"/>
        <v>243.19199999968987</v>
      </c>
      <c r="H23" s="210">
        <f t="shared" si="3"/>
        <v>228.11409599970909</v>
      </c>
      <c r="I23" s="151">
        <v>6.2</v>
      </c>
      <c r="J23" s="211">
        <f t="shared" si="4"/>
        <v>15.077903999980771</v>
      </c>
      <c r="K23" s="151">
        <v>105</v>
      </c>
      <c r="L23" s="212"/>
      <c r="M23" s="223">
        <v>2668.6399000000001</v>
      </c>
      <c r="N23" s="210">
        <f t="shared" si="5"/>
        <v>4.0929000000005544</v>
      </c>
      <c r="O23" s="212"/>
      <c r="P23" s="210">
        <f t="shared" si="6"/>
        <v>98.229600000013306</v>
      </c>
      <c r="Q23" s="210">
        <f t="shared" si="7"/>
        <v>430.6160895911429</v>
      </c>
      <c r="R23" s="151">
        <v>86.812339999999992</v>
      </c>
      <c r="S23" s="151">
        <v>170.03</v>
      </c>
      <c r="T23" s="151">
        <v>168.5</v>
      </c>
      <c r="U23" s="151">
        <v>159.5</v>
      </c>
      <c r="V23" s="151">
        <v>90.3</v>
      </c>
      <c r="W23" s="151">
        <v>10</v>
      </c>
      <c r="X23" s="151">
        <v>704</v>
      </c>
      <c r="Y23" s="151">
        <v>90</v>
      </c>
    </row>
    <row r="24" spans="2:25">
      <c r="B24" s="149" t="s">
        <v>168</v>
      </c>
      <c r="C24" s="150">
        <v>0.98611111111111116</v>
      </c>
      <c r="D24" s="221">
        <v>60187.519500000002</v>
      </c>
      <c r="E24" s="210">
        <f t="shared" si="0"/>
        <v>18.679500000012922</v>
      </c>
      <c r="F24" s="210">
        <f t="shared" si="1"/>
        <v>448.30800000031013</v>
      </c>
      <c r="G24" s="210">
        <f t="shared" si="2"/>
        <v>343.30800000031013</v>
      </c>
      <c r="H24" s="210">
        <f t="shared" si="3"/>
        <v>322.02290400029091</v>
      </c>
      <c r="I24" s="151">
        <v>6.2</v>
      </c>
      <c r="J24" s="211">
        <f t="shared" si="4"/>
        <v>21.285096000019227</v>
      </c>
      <c r="K24" s="151">
        <v>105</v>
      </c>
      <c r="L24" s="212"/>
      <c r="M24" s="223">
        <v>2668.7858999999999</v>
      </c>
      <c r="N24" s="210">
        <f t="shared" si="5"/>
        <v>0.43799999999919237</v>
      </c>
      <c r="O24" s="212"/>
      <c r="P24" s="210">
        <f t="shared" si="6"/>
        <v>10.511999999980617</v>
      </c>
      <c r="Q24" s="210">
        <f t="shared" si="7"/>
        <v>32.643640776468253</v>
      </c>
      <c r="R24" s="151">
        <v>86.739080000000001</v>
      </c>
      <c r="S24" s="151">
        <v>170.03</v>
      </c>
      <c r="T24" s="151">
        <v>168.5</v>
      </c>
      <c r="U24" s="151">
        <v>160</v>
      </c>
      <c r="V24" s="151">
        <v>90.3</v>
      </c>
      <c r="W24" s="151">
        <v>10</v>
      </c>
      <c r="X24" s="151">
        <v>704</v>
      </c>
      <c r="Y24" s="151">
        <v>90</v>
      </c>
    </row>
    <row r="25" spans="2:25">
      <c r="B25" s="149" t="s">
        <v>169</v>
      </c>
      <c r="C25" s="150">
        <v>0</v>
      </c>
      <c r="D25" s="221">
        <v>60194.054700000001</v>
      </c>
      <c r="E25" s="210">
        <f t="shared" si="0"/>
        <v>19.60559999999532</v>
      </c>
      <c r="F25" s="210">
        <f t="shared" si="1"/>
        <v>470.53439999988768</v>
      </c>
      <c r="G25" s="210">
        <f t="shared" si="2"/>
        <v>365.53439999988768</v>
      </c>
      <c r="H25" s="210">
        <f t="shared" si="3"/>
        <v>342.87126719989465</v>
      </c>
      <c r="I25" s="151">
        <v>6.2</v>
      </c>
      <c r="J25" s="211">
        <f t="shared" si="4"/>
        <v>22.663132799993036</v>
      </c>
      <c r="K25" s="151">
        <v>105</v>
      </c>
      <c r="L25" s="212"/>
      <c r="M25" s="223">
        <v>2670.0239000000001</v>
      </c>
      <c r="N25" s="210">
        <f t="shared" si="5"/>
        <v>3.7140000000008513</v>
      </c>
      <c r="O25" s="212"/>
      <c r="P25" s="210">
        <f t="shared" si="6"/>
        <v>89.136000000020431</v>
      </c>
      <c r="Q25" s="210">
        <f t="shared" si="7"/>
        <v>259.96929030525604</v>
      </c>
      <c r="R25" s="151">
        <v>87.887480000000011</v>
      </c>
      <c r="S25" s="151">
        <v>170.02</v>
      </c>
      <c r="T25" s="151">
        <v>168.5</v>
      </c>
      <c r="U25" s="151">
        <v>160</v>
      </c>
      <c r="V25" s="151">
        <v>90.3</v>
      </c>
      <c r="W25" s="151">
        <v>10</v>
      </c>
      <c r="X25" s="151">
        <v>704</v>
      </c>
      <c r="Y25" s="151">
        <v>90</v>
      </c>
    </row>
    <row r="26" spans="2:25">
      <c r="B26" s="149" t="s">
        <v>169</v>
      </c>
      <c r="C26" s="150">
        <v>1.3888888888888888E-2</v>
      </c>
      <c r="D26" s="221">
        <v>60200.746099999997</v>
      </c>
      <c r="E26" s="210">
        <f t="shared" si="0"/>
        <v>20.074199999988195</v>
      </c>
      <c r="F26" s="210">
        <f t="shared" si="1"/>
        <v>481.78079999971669</v>
      </c>
      <c r="G26" s="210">
        <f t="shared" si="2"/>
        <v>376.78079999971669</v>
      </c>
      <c r="H26" s="210">
        <f t="shared" si="3"/>
        <v>353.42039039973423</v>
      </c>
      <c r="I26" s="151">
        <v>6.2</v>
      </c>
      <c r="J26" s="211">
        <f t="shared" si="4"/>
        <v>23.360409599982436</v>
      </c>
      <c r="K26" s="151">
        <v>105</v>
      </c>
      <c r="L26" s="212"/>
      <c r="M26" s="223">
        <v>2670.4362999999998</v>
      </c>
      <c r="N26" s="210">
        <f t="shared" si="5"/>
        <v>1.2371999999991203</v>
      </c>
      <c r="O26" s="212"/>
      <c r="P26" s="210">
        <f t="shared" si="6"/>
        <v>29.692799999978888</v>
      </c>
      <c r="Q26" s="210">
        <f t="shared" si="7"/>
        <v>84.015526004017502</v>
      </c>
      <c r="R26" s="151">
        <v>87.026899999999998</v>
      </c>
      <c r="S26" s="151">
        <v>170.02</v>
      </c>
      <c r="T26" s="151">
        <v>168.5</v>
      </c>
      <c r="U26" s="151">
        <v>157.5</v>
      </c>
      <c r="V26" s="151">
        <v>92.2</v>
      </c>
      <c r="W26" s="151">
        <v>10.5</v>
      </c>
      <c r="X26" s="151">
        <v>734</v>
      </c>
      <c r="Y26" s="151">
        <v>90</v>
      </c>
    </row>
    <row r="27" spans="2:25">
      <c r="B27" s="149" t="s">
        <v>169</v>
      </c>
      <c r="C27" s="150">
        <v>2.7777777777777776E-2</v>
      </c>
      <c r="D27" s="221">
        <v>60206</v>
      </c>
      <c r="E27" s="210">
        <f t="shared" si="0"/>
        <v>15.761700000010023</v>
      </c>
      <c r="F27" s="210">
        <f t="shared" si="1"/>
        <v>378.28080000024056</v>
      </c>
      <c r="G27" s="210">
        <f t="shared" si="2"/>
        <v>273.28080000024056</v>
      </c>
      <c r="H27" s="210">
        <f t="shared" si="3"/>
        <v>256.33739040022567</v>
      </c>
      <c r="I27" s="151">
        <v>6.2</v>
      </c>
      <c r="J27" s="211">
        <f t="shared" si="4"/>
        <v>16.943409600014913</v>
      </c>
      <c r="K27" s="151">
        <v>105</v>
      </c>
      <c r="L27" s="212"/>
      <c r="M27" s="223">
        <v>2670.4816999999998</v>
      </c>
      <c r="N27" s="210">
        <f t="shared" si="5"/>
        <v>0.13619999999991705</v>
      </c>
      <c r="O27" s="212"/>
      <c r="P27" s="210">
        <f t="shared" si="6"/>
        <v>3.2687999999980093</v>
      </c>
      <c r="Q27" s="210">
        <f t="shared" si="7"/>
        <v>12.751943814729307</v>
      </c>
      <c r="R27" s="151">
        <v>87.128239999999991</v>
      </c>
      <c r="S27" s="151">
        <v>170.02</v>
      </c>
      <c r="T27" s="151">
        <v>168.5</v>
      </c>
      <c r="U27" s="151">
        <v>158.5</v>
      </c>
      <c r="V27" s="151">
        <v>92.2</v>
      </c>
      <c r="W27" s="151">
        <v>10.5</v>
      </c>
      <c r="X27" s="151">
        <v>734</v>
      </c>
      <c r="Y27" s="151">
        <v>90</v>
      </c>
    </row>
    <row r="28" spans="2:25">
      <c r="B28" s="149" t="s">
        <v>169</v>
      </c>
      <c r="C28" s="150">
        <v>4.1666666666666664E-2</v>
      </c>
      <c r="D28" s="221">
        <v>60210.101600000002</v>
      </c>
      <c r="E28" s="210">
        <f t="shared" si="0"/>
        <v>12.304800000005343</v>
      </c>
      <c r="F28" s="210">
        <f t="shared" si="1"/>
        <v>295.31520000012824</v>
      </c>
      <c r="G28" s="210">
        <f t="shared" si="2"/>
        <v>190.31520000012824</v>
      </c>
      <c r="H28" s="210">
        <f t="shared" si="3"/>
        <v>178.51565760012028</v>
      </c>
      <c r="I28" s="151">
        <v>6.2</v>
      </c>
      <c r="J28" s="211">
        <f t="shared" si="4"/>
        <v>11.799542400007951</v>
      </c>
      <c r="K28" s="151">
        <v>105</v>
      </c>
      <c r="L28" s="212"/>
      <c r="M28" s="223">
        <v>2670.7363</v>
      </c>
      <c r="N28" s="210">
        <f t="shared" si="5"/>
        <v>0.76380000000062864</v>
      </c>
      <c r="O28" s="212"/>
      <c r="P28" s="210">
        <f t="shared" si="6"/>
        <v>18.331200000015087</v>
      </c>
      <c r="Q28" s="210">
        <f t="shared" si="7"/>
        <v>102.68679087566343</v>
      </c>
      <c r="R28" s="151">
        <v>85.321400000000011</v>
      </c>
      <c r="S28" s="151">
        <v>169.3</v>
      </c>
      <c r="T28" s="151">
        <v>166</v>
      </c>
      <c r="U28" s="151">
        <v>161.5</v>
      </c>
      <c r="V28" s="151">
        <v>92.2</v>
      </c>
      <c r="W28" s="151">
        <v>10.5</v>
      </c>
      <c r="X28" s="151">
        <v>734</v>
      </c>
      <c r="Y28" s="151">
        <v>90</v>
      </c>
    </row>
    <row r="29" spans="2:25">
      <c r="B29" s="149" t="s">
        <v>169</v>
      </c>
      <c r="C29" s="150">
        <v>5.5555555555555552E-2</v>
      </c>
      <c r="D29" s="221">
        <v>60216.152300000002</v>
      </c>
      <c r="E29" s="210">
        <f t="shared" si="0"/>
        <v>18.152099999999336</v>
      </c>
      <c r="F29" s="210">
        <f t="shared" si="1"/>
        <v>435.65039999998407</v>
      </c>
      <c r="G29" s="210">
        <f t="shared" si="2"/>
        <v>330.65039999998407</v>
      </c>
      <c r="H29" s="210">
        <f t="shared" si="3"/>
        <v>310.15007519998505</v>
      </c>
      <c r="I29" s="151">
        <v>6.2</v>
      </c>
      <c r="J29" s="211">
        <f t="shared" si="4"/>
        <v>20.500324799999014</v>
      </c>
      <c r="K29" s="151">
        <v>105</v>
      </c>
      <c r="L29" s="212"/>
      <c r="M29" s="223">
        <v>2671.4517000000001</v>
      </c>
      <c r="N29" s="210">
        <f t="shared" si="5"/>
        <v>2.1462000000001353</v>
      </c>
      <c r="O29" s="212"/>
      <c r="P29" s="210">
        <f t="shared" si="6"/>
        <v>51.508800000003248</v>
      </c>
      <c r="Q29" s="210">
        <f t="shared" si="7"/>
        <v>166.07701921977716</v>
      </c>
      <c r="R29" s="151">
        <v>87.065059999999988</v>
      </c>
      <c r="S29" s="151">
        <v>169.3</v>
      </c>
      <c r="T29" s="151">
        <v>166</v>
      </c>
      <c r="U29" s="151">
        <v>160</v>
      </c>
      <c r="V29" s="151">
        <v>92.5</v>
      </c>
      <c r="W29" s="151">
        <v>10.6</v>
      </c>
      <c r="X29" s="151">
        <v>744</v>
      </c>
      <c r="Y29" s="151">
        <v>90</v>
      </c>
    </row>
    <row r="30" spans="2:25">
      <c r="B30" s="149" t="s">
        <v>169</v>
      </c>
      <c r="C30" s="150">
        <v>6.9444444444444448E-2</v>
      </c>
      <c r="D30" s="221">
        <v>60222.640599999999</v>
      </c>
      <c r="E30" s="210">
        <f t="shared" si="0"/>
        <v>19.464899999991758</v>
      </c>
      <c r="F30" s="210">
        <f t="shared" si="1"/>
        <v>467.15759999980219</v>
      </c>
      <c r="G30" s="210">
        <f t="shared" si="2"/>
        <v>362.15759999980219</v>
      </c>
      <c r="H30" s="210">
        <f t="shared" si="3"/>
        <v>339.70382879981446</v>
      </c>
      <c r="I30" s="151">
        <v>6.2</v>
      </c>
      <c r="J30" s="211">
        <f t="shared" si="4"/>
        <v>22.453771199987735</v>
      </c>
      <c r="K30" s="151">
        <v>105</v>
      </c>
      <c r="L30" s="212"/>
      <c r="M30" s="223">
        <v>2672.2646</v>
      </c>
      <c r="N30" s="210">
        <f t="shared" si="5"/>
        <v>2.4386999999996988</v>
      </c>
      <c r="O30" s="212"/>
      <c r="P30" s="210">
        <f t="shared" si="6"/>
        <v>58.528799999992771</v>
      </c>
      <c r="Q30" s="210">
        <f t="shared" si="7"/>
        <v>172.29361295919765</v>
      </c>
      <c r="R30" s="151">
        <v>85.761859999999999</v>
      </c>
      <c r="S30" s="151">
        <v>169.3</v>
      </c>
      <c r="T30" s="151">
        <v>166</v>
      </c>
      <c r="U30" s="151">
        <v>159</v>
      </c>
      <c r="V30" s="151">
        <v>92.5</v>
      </c>
      <c r="W30" s="151">
        <v>10.6</v>
      </c>
      <c r="X30" s="151">
        <v>744</v>
      </c>
      <c r="Y30" s="151">
        <v>90</v>
      </c>
    </row>
    <row r="31" spans="2:25">
      <c r="B31" s="149" t="s">
        <v>169</v>
      </c>
      <c r="C31" s="150">
        <v>8.3333333333333329E-2</v>
      </c>
      <c r="D31" s="221">
        <v>60227.671900000001</v>
      </c>
      <c r="E31" s="210">
        <f t="shared" si="0"/>
        <v>15.093900000007125</v>
      </c>
      <c r="F31" s="210">
        <f t="shared" si="1"/>
        <v>362.25360000017099</v>
      </c>
      <c r="G31" s="210">
        <f t="shared" si="2"/>
        <v>257.25360000017099</v>
      </c>
      <c r="H31" s="210">
        <f t="shared" si="3"/>
        <v>241.3038768001604</v>
      </c>
      <c r="I31" s="151">
        <v>6.2</v>
      </c>
      <c r="J31" s="211">
        <f t="shared" si="4"/>
        <v>15.949723200010601</v>
      </c>
      <c r="K31" s="151">
        <v>105</v>
      </c>
      <c r="L31" s="212"/>
      <c r="M31" s="223">
        <v>2672.2891</v>
      </c>
      <c r="N31" s="210">
        <f t="shared" si="5"/>
        <v>7.3499999999967258E-2</v>
      </c>
      <c r="O31" s="212"/>
      <c r="P31" s="210">
        <f t="shared" si="6"/>
        <v>1.7639999999992142</v>
      </c>
      <c r="Q31" s="210">
        <f t="shared" si="7"/>
        <v>7.3102845399375767</v>
      </c>
      <c r="R31" s="151">
        <v>86.797580000000011</v>
      </c>
      <c r="S31" s="151">
        <v>167.3</v>
      </c>
      <c r="T31" s="151">
        <v>165</v>
      </c>
      <c r="U31" s="151">
        <v>157.5</v>
      </c>
      <c r="V31" s="151">
        <v>92.5</v>
      </c>
      <c r="W31" s="151">
        <v>10.6</v>
      </c>
      <c r="X31" s="151">
        <v>744</v>
      </c>
      <c r="Y31" s="151">
        <v>90</v>
      </c>
    </row>
    <row r="32" spans="2:25">
      <c r="B32" s="149" t="s">
        <v>169</v>
      </c>
      <c r="C32" s="150">
        <v>9.7222222222222224E-2</v>
      </c>
      <c r="D32" s="221">
        <v>60233.648399999998</v>
      </c>
      <c r="E32" s="210">
        <f t="shared" si="0"/>
        <v>17.929499999991094</v>
      </c>
      <c r="F32" s="210">
        <f t="shared" si="1"/>
        <v>430.30799999978626</v>
      </c>
      <c r="G32" s="210">
        <f t="shared" si="2"/>
        <v>325.30799999978626</v>
      </c>
      <c r="H32" s="210">
        <f t="shared" si="3"/>
        <v>305.13890399979954</v>
      </c>
      <c r="I32" s="151">
        <v>6.2</v>
      </c>
      <c r="J32" s="211">
        <f t="shared" si="4"/>
        <v>20.169095999986748</v>
      </c>
      <c r="K32" s="151">
        <v>105</v>
      </c>
      <c r="L32" s="212"/>
      <c r="M32" s="223">
        <v>2672.3512999999998</v>
      </c>
      <c r="N32" s="210">
        <f t="shared" si="5"/>
        <v>0.1865999999995438</v>
      </c>
      <c r="O32" s="212"/>
      <c r="P32" s="210">
        <f t="shared" si="6"/>
        <v>4.4783999999890511</v>
      </c>
      <c r="Q32" s="210">
        <f t="shared" si="7"/>
        <v>14.676594630463748</v>
      </c>
      <c r="R32" s="151">
        <v>84.97796000000001</v>
      </c>
      <c r="S32" s="151">
        <v>167.3</v>
      </c>
      <c r="T32" s="151">
        <v>165</v>
      </c>
      <c r="U32" s="151">
        <v>159.5</v>
      </c>
      <c r="V32" s="151">
        <v>92</v>
      </c>
      <c r="W32" s="151">
        <v>10.4</v>
      </c>
      <c r="X32" s="151">
        <v>729</v>
      </c>
      <c r="Y32" s="151">
        <v>90</v>
      </c>
    </row>
    <row r="33" spans="2:25">
      <c r="B33" s="149" t="s">
        <v>169</v>
      </c>
      <c r="C33" s="150">
        <v>0.1111111111111111</v>
      </c>
      <c r="D33" s="221">
        <v>60238.640599999999</v>
      </c>
      <c r="E33" s="210">
        <f t="shared" si="0"/>
        <v>14.976600000001781</v>
      </c>
      <c r="F33" s="210">
        <f t="shared" si="1"/>
        <v>359.43840000004275</v>
      </c>
      <c r="G33" s="210">
        <f t="shared" si="2"/>
        <v>254.43840000004275</v>
      </c>
      <c r="H33" s="210">
        <f t="shared" si="3"/>
        <v>238.66321920004009</v>
      </c>
      <c r="I33" s="151">
        <v>6.2</v>
      </c>
      <c r="J33" s="211">
        <f t="shared" si="4"/>
        <v>15.77518080000265</v>
      </c>
      <c r="K33" s="151">
        <v>105</v>
      </c>
      <c r="L33" s="212"/>
      <c r="M33" s="223">
        <v>2673.0652</v>
      </c>
      <c r="N33" s="210">
        <f t="shared" si="5"/>
        <v>2.1417000000005828</v>
      </c>
      <c r="O33" s="212"/>
      <c r="P33" s="210">
        <f t="shared" si="6"/>
        <v>51.400800000013987</v>
      </c>
      <c r="Q33" s="210">
        <f t="shared" si="7"/>
        <v>215.3695913945225</v>
      </c>
      <c r="R33" s="151">
        <v>85.485019999999992</v>
      </c>
      <c r="S33" s="151">
        <v>167.3</v>
      </c>
      <c r="T33" s="151">
        <v>165</v>
      </c>
      <c r="U33" s="151">
        <v>157.5</v>
      </c>
      <c r="V33" s="151">
        <v>92</v>
      </c>
      <c r="W33" s="151">
        <v>10.4</v>
      </c>
      <c r="X33" s="151">
        <v>729</v>
      </c>
      <c r="Y33" s="151">
        <v>90</v>
      </c>
    </row>
    <row r="34" spans="2:25">
      <c r="B34" s="149" t="s">
        <v>169</v>
      </c>
      <c r="C34" s="150">
        <v>0.125</v>
      </c>
      <c r="D34" s="221">
        <v>60244.089800000002</v>
      </c>
      <c r="E34" s="210">
        <f t="shared" si="0"/>
        <v>16.347600000008242</v>
      </c>
      <c r="F34" s="210">
        <f t="shared" si="1"/>
        <v>392.34240000019781</v>
      </c>
      <c r="G34" s="210">
        <f t="shared" si="2"/>
        <v>287.34240000019781</v>
      </c>
      <c r="H34" s="210">
        <f t="shared" si="3"/>
        <v>269.52717120018553</v>
      </c>
      <c r="I34" s="151">
        <v>6.2</v>
      </c>
      <c r="J34" s="211">
        <f t="shared" si="4"/>
        <v>17.815228800012264</v>
      </c>
      <c r="K34" s="151">
        <v>105</v>
      </c>
      <c r="L34" s="212"/>
      <c r="M34" s="223">
        <v>2673.1520999999998</v>
      </c>
      <c r="N34" s="210">
        <f t="shared" si="5"/>
        <v>0.26069999999936044</v>
      </c>
      <c r="O34" s="212"/>
      <c r="P34" s="210">
        <f t="shared" si="6"/>
        <v>6.2567999999846506</v>
      </c>
      <c r="Q34" s="210">
        <f t="shared" si="7"/>
        <v>23.213986078374067</v>
      </c>
      <c r="R34" s="151">
        <v>85.799300000000002</v>
      </c>
      <c r="S34" s="151">
        <v>167.3</v>
      </c>
      <c r="T34" s="151">
        <v>165</v>
      </c>
      <c r="U34" s="151">
        <v>159.5</v>
      </c>
      <c r="V34" s="151">
        <v>92</v>
      </c>
      <c r="W34" s="151">
        <v>10.4</v>
      </c>
      <c r="X34" s="151">
        <v>729</v>
      </c>
      <c r="Y34" s="151">
        <v>90</v>
      </c>
    </row>
    <row r="35" spans="2:25">
      <c r="B35" s="149" t="s">
        <v>169</v>
      </c>
      <c r="C35" s="150">
        <v>0.1388888888888889</v>
      </c>
      <c r="D35" s="221">
        <v>60249.746099999997</v>
      </c>
      <c r="E35" s="210">
        <f t="shared" si="0"/>
        <v>16.968899999985297</v>
      </c>
      <c r="F35" s="210">
        <f t="shared" si="1"/>
        <v>407.25359999964712</v>
      </c>
      <c r="G35" s="210">
        <f t="shared" si="2"/>
        <v>302.25359999964712</v>
      </c>
      <c r="H35" s="210">
        <f t="shared" si="3"/>
        <v>283.51387679966899</v>
      </c>
      <c r="I35" s="151">
        <v>6.2</v>
      </c>
      <c r="J35" s="211">
        <f t="shared" si="4"/>
        <v>18.739723199978123</v>
      </c>
      <c r="K35" s="151">
        <v>105</v>
      </c>
      <c r="L35" s="212"/>
      <c r="M35" s="223">
        <v>2673.2995999999998</v>
      </c>
      <c r="N35" s="210">
        <f t="shared" si="5"/>
        <v>0.44250000000010914</v>
      </c>
      <c r="O35" s="212"/>
      <c r="P35" s="210">
        <f t="shared" si="6"/>
        <v>10.620000000002619</v>
      </c>
      <c r="Q35" s="210">
        <f t="shared" si="7"/>
        <v>37.458483936949285</v>
      </c>
      <c r="R35" s="151">
        <v>86.936540000000008</v>
      </c>
      <c r="S35" s="151">
        <v>167.3</v>
      </c>
      <c r="T35" s="151">
        <v>165</v>
      </c>
      <c r="U35" s="151">
        <v>160</v>
      </c>
      <c r="V35" s="151">
        <v>92.2</v>
      </c>
      <c r="W35" s="151">
        <v>10.4</v>
      </c>
      <c r="X35" s="151">
        <v>733</v>
      </c>
      <c r="Y35" s="151">
        <v>90</v>
      </c>
    </row>
    <row r="36" spans="2:25">
      <c r="B36" s="149" t="s">
        <v>169</v>
      </c>
      <c r="C36" s="150">
        <v>0.15277777777777779</v>
      </c>
      <c r="D36" s="221">
        <v>60255.171900000001</v>
      </c>
      <c r="E36" s="210">
        <f t="shared" si="0"/>
        <v>16.277400000013586</v>
      </c>
      <c r="F36" s="210">
        <f t="shared" si="1"/>
        <v>390.65760000032606</v>
      </c>
      <c r="G36" s="210">
        <f t="shared" si="2"/>
        <v>285.65760000032606</v>
      </c>
      <c r="H36" s="210">
        <f t="shared" si="3"/>
        <v>267.94682880030587</v>
      </c>
      <c r="I36" s="151">
        <v>6.2</v>
      </c>
      <c r="J36" s="211">
        <f t="shared" si="4"/>
        <v>17.710771200020215</v>
      </c>
      <c r="K36" s="151">
        <v>105</v>
      </c>
      <c r="L36" s="212"/>
      <c r="M36" s="223">
        <v>2673.4182000000001</v>
      </c>
      <c r="N36" s="210">
        <f t="shared" si="5"/>
        <v>0.35580000000072687</v>
      </c>
      <c r="O36" s="212"/>
      <c r="P36" s="210">
        <f t="shared" si="6"/>
        <v>8.5392000000174448</v>
      </c>
      <c r="Q36" s="210">
        <f t="shared" si="7"/>
        <v>31.869009378653626</v>
      </c>
      <c r="R36" s="151">
        <v>87.38006</v>
      </c>
      <c r="S36" s="151">
        <v>167.3</v>
      </c>
      <c r="T36" s="151">
        <v>165</v>
      </c>
      <c r="U36" s="151">
        <v>161.5</v>
      </c>
      <c r="V36" s="151">
        <v>92.2</v>
      </c>
      <c r="W36" s="151">
        <v>10.4</v>
      </c>
      <c r="X36" s="151">
        <v>733</v>
      </c>
      <c r="Y36" s="151">
        <v>90</v>
      </c>
    </row>
    <row r="37" spans="2:25">
      <c r="B37" s="149" t="s">
        <v>169</v>
      </c>
      <c r="C37" s="150">
        <v>0.16666666666666666</v>
      </c>
      <c r="D37" s="221">
        <v>60262.121099999997</v>
      </c>
      <c r="E37" s="210">
        <f t="shared" si="0"/>
        <v>20.847599999986414</v>
      </c>
      <c r="F37" s="210">
        <f t="shared" si="1"/>
        <v>500.34239999967394</v>
      </c>
      <c r="G37" s="210">
        <f t="shared" si="2"/>
        <v>395.34239999967394</v>
      </c>
      <c r="H37" s="210">
        <f t="shared" si="3"/>
        <v>370.83117119969415</v>
      </c>
      <c r="I37" s="151">
        <v>6.2</v>
      </c>
      <c r="J37" s="211">
        <f t="shared" si="4"/>
        <v>24.511228799979783</v>
      </c>
      <c r="K37" s="151">
        <v>105</v>
      </c>
      <c r="L37" s="212"/>
      <c r="M37" s="223">
        <v>2673.6626000000001</v>
      </c>
      <c r="N37" s="210">
        <f t="shared" si="5"/>
        <v>0.73320000000012442</v>
      </c>
      <c r="O37" s="212"/>
      <c r="P37" s="210">
        <f t="shared" ref="P37:P49" si="8">N37*24</f>
        <v>17.596800000002986</v>
      </c>
      <c r="Q37" s="210">
        <f t="shared" ref="Q37:Q49" si="9">(P37/H37)*1000</f>
        <v>47.452321613295652</v>
      </c>
      <c r="R37" s="151">
        <v>87.575720000000004</v>
      </c>
      <c r="S37" s="151">
        <v>170.4</v>
      </c>
      <c r="T37" s="151">
        <v>168</v>
      </c>
      <c r="U37" s="151">
        <v>161</v>
      </c>
      <c r="V37" s="151">
        <v>92.2</v>
      </c>
      <c r="W37" s="151">
        <v>10.4</v>
      </c>
      <c r="X37" s="151">
        <v>733</v>
      </c>
      <c r="Y37" s="151">
        <v>90</v>
      </c>
    </row>
    <row r="38" spans="2:25">
      <c r="B38" s="149" t="s">
        <v>169</v>
      </c>
      <c r="C38" s="150">
        <v>0.18055555555555555</v>
      </c>
      <c r="D38" s="221">
        <v>60268.652300000002</v>
      </c>
      <c r="E38" s="210">
        <f t="shared" si="0"/>
        <v>19.593600000014703</v>
      </c>
      <c r="F38" s="210">
        <f t="shared" si="1"/>
        <v>470.24640000035288</v>
      </c>
      <c r="G38" s="210">
        <f t="shared" si="2"/>
        <v>365.24640000035288</v>
      </c>
      <c r="H38" s="210">
        <f t="shared" si="3"/>
        <v>342.60112320033102</v>
      </c>
      <c r="I38" s="151">
        <v>6.2</v>
      </c>
      <c r="J38" s="211">
        <f t="shared" si="4"/>
        <v>22.645276800021879</v>
      </c>
      <c r="K38" s="151">
        <v>105</v>
      </c>
      <c r="L38" s="212"/>
      <c r="M38" s="223">
        <v>2674.0250999999998</v>
      </c>
      <c r="N38" s="210">
        <f t="shared" si="5"/>
        <v>1.0874999999991815</v>
      </c>
      <c r="O38" s="212"/>
      <c r="P38" s="210">
        <f t="shared" si="8"/>
        <v>26.099999999980355</v>
      </c>
      <c r="Q38" s="210">
        <f t="shared" si="9"/>
        <v>76.181886843140219</v>
      </c>
      <c r="R38" s="151">
        <v>86.517320000000012</v>
      </c>
      <c r="S38" s="151">
        <v>170.4</v>
      </c>
      <c r="T38" s="151">
        <v>168</v>
      </c>
      <c r="U38" s="151">
        <v>162</v>
      </c>
      <c r="V38" s="151">
        <v>89.6</v>
      </c>
      <c r="W38" s="151">
        <v>9.8000000000000007</v>
      </c>
      <c r="X38" s="151">
        <v>686</v>
      </c>
      <c r="Y38" s="151">
        <v>90</v>
      </c>
    </row>
    <row r="39" spans="2:25">
      <c r="B39" s="149" t="s">
        <v>169</v>
      </c>
      <c r="C39" s="150">
        <v>0.19444444444444445</v>
      </c>
      <c r="D39" s="221">
        <v>60273.445299999999</v>
      </c>
      <c r="E39" s="210">
        <f t="shared" si="0"/>
        <v>14.378999999993539</v>
      </c>
      <c r="F39" s="210">
        <f t="shared" si="1"/>
        <v>345.09599999984493</v>
      </c>
      <c r="G39" s="210">
        <f t="shared" si="2"/>
        <v>240.09599999984493</v>
      </c>
      <c r="H39" s="210">
        <f t="shared" si="3"/>
        <v>225.21004799985454</v>
      </c>
      <c r="I39" s="151">
        <v>6.2</v>
      </c>
      <c r="J39" s="211">
        <f t="shared" si="4"/>
        <v>14.885951999990386</v>
      </c>
      <c r="K39" s="151">
        <v>105</v>
      </c>
      <c r="L39" s="212"/>
      <c r="M39" s="223">
        <v>2674.1914000000002</v>
      </c>
      <c r="N39" s="210">
        <f t="shared" si="5"/>
        <v>0.49890000000095824</v>
      </c>
      <c r="O39" s="212"/>
      <c r="P39" s="210">
        <f t="shared" si="8"/>
        <v>11.973600000022998</v>
      </c>
      <c r="Q39" s="210">
        <f t="shared" si="9"/>
        <v>53.16636671571036</v>
      </c>
      <c r="R39" s="151">
        <v>86.051479999999998</v>
      </c>
      <c r="S39" s="151">
        <v>170.4</v>
      </c>
      <c r="T39" s="151">
        <v>168</v>
      </c>
      <c r="U39" s="151">
        <v>161</v>
      </c>
      <c r="V39" s="151">
        <v>89.6</v>
      </c>
      <c r="W39" s="151">
        <v>9.8000000000000007</v>
      </c>
      <c r="X39" s="151">
        <v>686</v>
      </c>
      <c r="Y39" s="151">
        <v>90</v>
      </c>
    </row>
    <row r="40" spans="2:25">
      <c r="B40" s="149" t="s">
        <v>169</v>
      </c>
      <c r="C40" s="150">
        <v>0.20833333333333334</v>
      </c>
      <c r="D40" s="221">
        <v>60278.746099999997</v>
      </c>
      <c r="E40" s="210">
        <f t="shared" si="0"/>
        <v>15.902399999991758</v>
      </c>
      <c r="F40" s="210">
        <f t="shared" si="1"/>
        <v>381.65759999980219</v>
      </c>
      <c r="G40" s="210">
        <f t="shared" si="2"/>
        <v>276.65759999980219</v>
      </c>
      <c r="H40" s="210">
        <f t="shared" si="3"/>
        <v>259.50482879981445</v>
      </c>
      <c r="I40" s="151">
        <v>6.2</v>
      </c>
      <c r="J40" s="211">
        <f t="shared" si="4"/>
        <v>17.152771199987736</v>
      </c>
      <c r="K40" s="151">
        <v>105</v>
      </c>
      <c r="L40" s="212"/>
      <c r="M40" s="223">
        <v>2674.5981000000002</v>
      </c>
      <c r="N40" s="210">
        <f t="shared" si="5"/>
        <v>1.2201000000000022</v>
      </c>
      <c r="O40" s="212"/>
      <c r="P40" s="210">
        <f t="shared" si="8"/>
        <v>29.282400000000052</v>
      </c>
      <c r="Q40" s="210">
        <f t="shared" si="9"/>
        <v>112.83951876898944</v>
      </c>
      <c r="R40" s="151">
        <v>85.843940000000003</v>
      </c>
      <c r="S40" s="151">
        <v>170.4</v>
      </c>
      <c r="T40" s="151">
        <v>168</v>
      </c>
      <c r="U40" s="151">
        <v>163</v>
      </c>
      <c r="V40" s="151">
        <v>89.6</v>
      </c>
      <c r="W40" s="151">
        <v>9.8000000000000007</v>
      </c>
      <c r="X40" s="151">
        <v>686</v>
      </c>
      <c r="Y40" s="151">
        <v>90</v>
      </c>
    </row>
    <row r="41" spans="2:25">
      <c r="B41" s="149" t="s">
        <v>169</v>
      </c>
      <c r="C41" s="150">
        <v>0.22222222222222221</v>
      </c>
      <c r="D41" s="221">
        <v>60283.117200000001</v>
      </c>
      <c r="E41" s="210">
        <f t="shared" si="0"/>
        <v>13.113300000011805</v>
      </c>
      <c r="F41" s="210">
        <f t="shared" si="1"/>
        <v>314.71920000028331</v>
      </c>
      <c r="G41" s="210">
        <f t="shared" si="2"/>
        <v>209.71920000028331</v>
      </c>
      <c r="H41" s="210">
        <f t="shared" si="3"/>
        <v>196.71660960026574</v>
      </c>
      <c r="I41" s="151">
        <v>6.2</v>
      </c>
      <c r="J41" s="211">
        <f t="shared" si="4"/>
        <v>13.002590400017565</v>
      </c>
      <c r="K41" s="151">
        <v>105</v>
      </c>
      <c r="L41" s="212"/>
      <c r="M41" s="223">
        <v>2674.6975000000002</v>
      </c>
      <c r="N41" s="210">
        <f t="shared" si="5"/>
        <v>0.29820000000017899</v>
      </c>
      <c r="O41" s="212"/>
      <c r="P41" s="210">
        <f t="shared" si="8"/>
        <v>7.1568000000042957</v>
      </c>
      <c r="Q41" s="210">
        <f t="shared" si="9"/>
        <v>36.381269555972601</v>
      </c>
      <c r="R41" s="151">
        <v>85.632800000000003</v>
      </c>
      <c r="S41" s="151">
        <v>170.4</v>
      </c>
      <c r="T41" s="151">
        <v>168</v>
      </c>
      <c r="U41" s="151">
        <v>164</v>
      </c>
      <c r="V41" s="151">
        <v>89.6</v>
      </c>
      <c r="W41" s="151">
        <v>9.8000000000000007</v>
      </c>
      <c r="X41" s="151">
        <v>686</v>
      </c>
      <c r="Y41" s="151">
        <v>90</v>
      </c>
    </row>
    <row r="42" spans="2:25">
      <c r="B42" s="149" t="s">
        <v>169</v>
      </c>
      <c r="C42" s="150">
        <v>0.2361111111111111</v>
      </c>
      <c r="D42" s="221">
        <v>60288.390599999999</v>
      </c>
      <c r="E42" s="210">
        <f t="shared" si="0"/>
        <v>15.820199999994657</v>
      </c>
      <c r="F42" s="210">
        <f t="shared" si="1"/>
        <v>379.68479999987176</v>
      </c>
      <c r="G42" s="210">
        <f t="shared" si="2"/>
        <v>274.68479999987176</v>
      </c>
      <c r="H42" s="210">
        <f t="shared" si="3"/>
        <v>257.65434239987974</v>
      </c>
      <c r="I42" s="151">
        <v>6.2</v>
      </c>
      <c r="J42" s="211">
        <f t="shared" si="4"/>
        <v>17.030457599992047</v>
      </c>
      <c r="K42" s="151">
        <v>105</v>
      </c>
      <c r="L42" s="212"/>
      <c r="M42" s="223">
        <v>2675.3751999999999</v>
      </c>
      <c r="N42" s="210">
        <f t="shared" si="5"/>
        <v>2.0330999999991946</v>
      </c>
      <c r="O42" s="212"/>
      <c r="P42" s="210">
        <f t="shared" si="8"/>
        <v>48.794399999980669</v>
      </c>
      <c r="Q42" s="210">
        <f t="shared" si="9"/>
        <v>189.37930385916695</v>
      </c>
      <c r="R42" s="151">
        <v>86.002160000000003</v>
      </c>
      <c r="S42" s="151">
        <v>170.4</v>
      </c>
      <c r="T42" s="151">
        <v>168</v>
      </c>
      <c r="U42" s="151">
        <v>160</v>
      </c>
      <c r="V42" s="151">
        <v>89.6</v>
      </c>
      <c r="W42" s="151">
        <v>9.8000000000000007</v>
      </c>
      <c r="X42" s="151">
        <v>686</v>
      </c>
      <c r="Y42" s="151">
        <v>90</v>
      </c>
    </row>
    <row r="43" spans="2:25">
      <c r="B43" s="149" t="s">
        <v>169</v>
      </c>
      <c r="C43" s="150">
        <v>0.25</v>
      </c>
      <c r="D43" s="221">
        <v>60294.039100000002</v>
      </c>
      <c r="E43" s="210">
        <f t="shared" si="0"/>
        <v>16.945500000008906</v>
      </c>
      <c r="F43" s="210">
        <f t="shared" si="1"/>
        <v>406.69200000021374</v>
      </c>
      <c r="G43" s="210">
        <f t="shared" si="2"/>
        <v>301.69200000021374</v>
      </c>
      <c r="H43" s="210">
        <f t="shared" si="3"/>
        <v>282.98709600020049</v>
      </c>
      <c r="I43" s="151">
        <v>6.2</v>
      </c>
      <c r="J43" s="211">
        <f t="shared" si="4"/>
        <v>18.704904000013251</v>
      </c>
      <c r="K43" s="151">
        <v>105</v>
      </c>
      <c r="L43" s="212"/>
      <c r="M43" s="223">
        <v>2675.9953999999998</v>
      </c>
      <c r="N43" s="210">
        <f t="shared" si="5"/>
        <v>1.860599999999522</v>
      </c>
      <c r="O43" s="212"/>
      <c r="P43" s="210">
        <f t="shared" si="8"/>
        <v>44.654399999988527</v>
      </c>
      <c r="Q43" s="210">
        <f t="shared" si="9"/>
        <v>157.79659437176912</v>
      </c>
      <c r="R43" s="151">
        <v>86.885239999999996</v>
      </c>
      <c r="S43" s="151">
        <v>172.4</v>
      </c>
      <c r="T43" s="151">
        <v>167</v>
      </c>
      <c r="U43" s="151">
        <v>160.5</v>
      </c>
      <c r="V43" s="151">
        <v>89.6</v>
      </c>
      <c r="W43" s="151">
        <v>9.8000000000000007</v>
      </c>
      <c r="X43" s="151">
        <v>686</v>
      </c>
      <c r="Y43" s="151">
        <v>90</v>
      </c>
    </row>
    <row r="44" spans="2:25">
      <c r="B44" s="149" t="s">
        <v>169</v>
      </c>
      <c r="C44" s="150">
        <v>0.2638888888888889</v>
      </c>
      <c r="D44" s="221">
        <v>60298.066400000003</v>
      </c>
      <c r="E44" s="210">
        <f t="shared" si="0"/>
        <v>12.08190000000468</v>
      </c>
      <c r="F44" s="210">
        <f t="shared" si="1"/>
        <v>289.96560000011232</v>
      </c>
      <c r="G44" s="210">
        <f t="shared" si="2"/>
        <v>184.96560000011232</v>
      </c>
      <c r="H44" s="210">
        <f t="shared" si="3"/>
        <v>173.49773280010535</v>
      </c>
      <c r="I44" s="151">
        <v>6.2</v>
      </c>
      <c r="J44" s="211">
        <f t="shared" si="4"/>
        <v>11.467867200006964</v>
      </c>
      <c r="K44" s="151">
        <v>105</v>
      </c>
      <c r="L44" s="212"/>
      <c r="M44" s="223">
        <v>2676.3164000000002</v>
      </c>
      <c r="N44" s="210">
        <f t="shared" si="5"/>
        <v>0.96300000000110231</v>
      </c>
      <c r="O44" s="212"/>
      <c r="P44" s="210">
        <f t="shared" si="8"/>
        <v>23.112000000026455</v>
      </c>
      <c r="Q44" s="210">
        <f t="shared" si="9"/>
        <v>133.21211538052111</v>
      </c>
      <c r="R44" s="151">
        <v>86.218339999999998</v>
      </c>
      <c r="S44" s="151">
        <v>172.4</v>
      </c>
      <c r="T44" s="151">
        <v>167</v>
      </c>
      <c r="U44" s="151">
        <v>159.5</v>
      </c>
      <c r="V44" s="151">
        <v>89.8</v>
      </c>
      <c r="W44" s="151">
        <v>9.89</v>
      </c>
      <c r="X44" s="151">
        <v>690</v>
      </c>
      <c r="Y44" s="151">
        <v>90</v>
      </c>
    </row>
    <row r="45" spans="2:25">
      <c r="B45" s="149" t="s">
        <v>169</v>
      </c>
      <c r="C45" s="150">
        <v>0.27777777777777779</v>
      </c>
      <c r="D45" s="221">
        <v>60304.472699999998</v>
      </c>
      <c r="E45" s="210">
        <f t="shared" si="0"/>
        <v>19.218899999985297</v>
      </c>
      <c r="F45" s="210">
        <f t="shared" si="1"/>
        <v>461.25359999964712</v>
      </c>
      <c r="G45" s="210">
        <f t="shared" si="2"/>
        <v>356.25359999964712</v>
      </c>
      <c r="H45" s="210">
        <f t="shared" si="3"/>
        <v>334.16587679966898</v>
      </c>
      <c r="I45" s="151">
        <v>6.2</v>
      </c>
      <c r="J45" s="211">
        <f t="shared" si="4"/>
        <v>22.087723199978122</v>
      </c>
      <c r="K45" s="151">
        <v>105</v>
      </c>
      <c r="L45" s="212"/>
      <c r="M45" s="223">
        <v>2676.3606</v>
      </c>
      <c r="N45" s="210">
        <f t="shared" si="5"/>
        <v>0.13259999999945649</v>
      </c>
      <c r="O45" s="212"/>
      <c r="P45" s="210">
        <f t="shared" si="8"/>
        <v>3.1823999999869557</v>
      </c>
      <c r="Q45" s="210">
        <f t="shared" si="9"/>
        <v>9.5234140315732798</v>
      </c>
      <c r="R45" s="151">
        <v>86.36018</v>
      </c>
      <c r="S45" s="151">
        <v>172.4</v>
      </c>
      <c r="T45" s="151">
        <v>167</v>
      </c>
      <c r="U45" s="151">
        <v>164.5</v>
      </c>
      <c r="V45" s="151">
        <v>89.8</v>
      </c>
      <c r="W45" s="151">
        <v>9.89</v>
      </c>
      <c r="X45" s="151">
        <v>690</v>
      </c>
      <c r="Y45" s="151">
        <v>90</v>
      </c>
    </row>
    <row r="46" spans="2:25">
      <c r="B46" s="149" t="s">
        <v>169</v>
      </c>
      <c r="C46" s="150">
        <v>0.29166666666666669</v>
      </c>
      <c r="D46" s="221">
        <v>60309.300799999997</v>
      </c>
      <c r="E46" s="210">
        <f t="shared" si="0"/>
        <v>14.484299999996438</v>
      </c>
      <c r="F46" s="210">
        <f t="shared" si="1"/>
        <v>347.6231999999145</v>
      </c>
      <c r="G46" s="210">
        <f t="shared" si="2"/>
        <v>242.6231999999145</v>
      </c>
      <c r="H46" s="210">
        <f t="shared" si="3"/>
        <v>227.5805615999198</v>
      </c>
      <c r="I46" s="151">
        <v>6.2</v>
      </c>
      <c r="J46" s="211">
        <f t="shared" si="4"/>
        <v>15.042638399994699</v>
      </c>
      <c r="K46" s="151">
        <v>105</v>
      </c>
      <c r="L46" s="212"/>
      <c r="M46" s="223">
        <v>2676.8908999999999</v>
      </c>
      <c r="N46" s="210">
        <f t="shared" si="5"/>
        <v>1.5908999999996922</v>
      </c>
      <c r="O46" s="212"/>
      <c r="P46" s="210">
        <f t="shared" si="8"/>
        <v>38.181599999992613</v>
      </c>
      <c r="Q46" s="210">
        <f t="shared" si="9"/>
        <v>167.77179795836335</v>
      </c>
      <c r="R46" s="151">
        <v>85.94095999999999</v>
      </c>
      <c r="S46" s="151">
        <v>172.4</v>
      </c>
      <c r="T46" s="151">
        <v>167</v>
      </c>
      <c r="U46" s="151">
        <v>164</v>
      </c>
      <c r="V46" s="151">
        <v>89.8</v>
      </c>
      <c r="W46" s="151">
        <v>9.89</v>
      </c>
      <c r="X46" s="151">
        <v>690</v>
      </c>
      <c r="Y46" s="151">
        <v>90</v>
      </c>
    </row>
    <row r="47" spans="2:25">
      <c r="B47" s="149" t="s">
        <v>169</v>
      </c>
      <c r="C47" s="150">
        <v>0.30555555555555558</v>
      </c>
      <c r="D47" s="221">
        <v>60315.914100000002</v>
      </c>
      <c r="E47" s="210">
        <f t="shared" si="0"/>
        <v>19.839900000013586</v>
      </c>
      <c r="F47" s="210">
        <f t="shared" si="1"/>
        <v>476.15760000032606</v>
      </c>
      <c r="G47" s="210">
        <f t="shared" si="2"/>
        <v>371.15760000032606</v>
      </c>
      <c r="H47" s="210">
        <f t="shared" si="3"/>
        <v>348.14582880030582</v>
      </c>
      <c r="I47" s="151">
        <v>6.2</v>
      </c>
      <c r="J47" s="211">
        <f t="shared" si="4"/>
        <v>23.011771200020217</v>
      </c>
      <c r="K47" s="151">
        <v>105</v>
      </c>
      <c r="L47" s="212"/>
      <c r="M47" s="223">
        <v>2677.3618000000001</v>
      </c>
      <c r="N47" s="210">
        <f t="shared" si="5"/>
        <v>1.4127000000007683</v>
      </c>
      <c r="O47" s="212"/>
      <c r="P47" s="210">
        <f t="shared" si="8"/>
        <v>33.90480000001844</v>
      </c>
      <c r="Q47" s="210">
        <f t="shared" si="9"/>
        <v>97.386776446102459</v>
      </c>
      <c r="R47" s="151">
        <v>87.088819999999998</v>
      </c>
      <c r="S47" s="151">
        <v>172.4</v>
      </c>
      <c r="T47" s="151">
        <v>167</v>
      </c>
      <c r="U47" s="151">
        <v>160</v>
      </c>
      <c r="V47" s="151">
        <v>89.8</v>
      </c>
      <c r="W47" s="151">
        <v>9.89</v>
      </c>
      <c r="X47" s="151">
        <v>690</v>
      </c>
      <c r="Y47" s="151">
        <v>90</v>
      </c>
    </row>
    <row r="48" spans="2:25">
      <c r="B48" s="149" t="s">
        <v>169</v>
      </c>
      <c r="C48" s="150">
        <v>0.31944444444444442</v>
      </c>
      <c r="D48" s="221">
        <v>60320.621099999997</v>
      </c>
      <c r="E48" s="210">
        <f t="shared" si="0"/>
        <v>14.120999999984633</v>
      </c>
      <c r="F48" s="210">
        <f t="shared" si="1"/>
        <v>338.9039999996312</v>
      </c>
      <c r="G48" s="210">
        <f t="shared" si="2"/>
        <v>233.9039999996312</v>
      </c>
      <c r="H48" s="210">
        <f>G48-J48</f>
        <v>219.40195199965407</v>
      </c>
      <c r="I48" s="151">
        <v>6.2</v>
      </c>
      <c r="J48" s="211">
        <f>G48*I48%</f>
        <v>14.502047999977133</v>
      </c>
      <c r="K48" s="151">
        <v>105</v>
      </c>
      <c r="L48" s="212"/>
      <c r="M48" s="223">
        <v>2677.4396999999999</v>
      </c>
      <c r="N48" s="210">
        <f t="shared" si="5"/>
        <v>0.23369999999931679</v>
      </c>
      <c r="O48" s="212"/>
      <c r="P48" s="210">
        <f>N48*24</f>
        <v>5.6087999999836029</v>
      </c>
      <c r="Q48" s="210">
        <f>(P48/H48)*1000</f>
        <v>25.564038737414908</v>
      </c>
      <c r="R48" s="151">
        <v>87.545299999999997</v>
      </c>
      <c r="S48" s="151">
        <v>172.4</v>
      </c>
      <c r="T48" s="151">
        <v>167</v>
      </c>
      <c r="U48" s="151">
        <v>163.5</v>
      </c>
      <c r="V48" s="151">
        <v>90.2</v>
      </c>
      <c r="W48" s="151">
        <v>9.98</v>
      </c>
      <c r="X48" s="151">
        <v>700</v>
      </c>
      <c r="Y48" s="151">
        <v>90</v>
      </c>
    </row>
    <row r="49" spans="2:26">
      <c r="B49" s="149" t="s">
        <v>169</v>
      </c>
      <c r="C49" s="150">
        <v>0.33333333333333331</v>
      </c>
      <c r="D49" s="221">
        <v>60322.050799999997</v>
      </c>
      <c r="E49" s="210">
        <f>(D49-D48)*3</f>
        <v>4.2891000000017812</v>
      </c>
      <c r="F49" s="210">
        <f t="shared" si="1"/>
        <v>102.93840000004275</v>
      </c>
      <c r="G49" s="210">
        <f t="shared" si="2"/>
        <v>-2.0615999999572523</v>
      </c>
      <c r="H49" s="210">
        <f t="shared" si="3"/>
        <v>-1.9337807999599026</v>
      </c>
      <c r="I49" s="151">
        <v>6.2</v>
      </c>
      <c r="J49" s="211">
        <f t="shared" si="4"/>
        <v>-0.12781919999734964</v>
      </c>
      <c r="K49" s="151">
        <v>105</v>
      </c>
      <c r="L49" s="212"/>
      <c r="M49" s="223">
        <v>2677.4475000000002</v>
      </c>
      <c r="N49" s="210">
        <f>(M49-M48)*3</f>
        <v>2.340000000094733E-2</v>
      </c>
      <c r="O49" s="212"/>
      <c r="P49" s="210">
        <f t="shared" si="8"/>
        <v>0.56160000002273591</v>
      </c>
      <c r="Q49" s="210">
        <f t="shared" si="9"/>
        <v>-290.4155424618865</v>
      </c>
      <c r="R49" s="151">
        <v>87.109880000000004</v>
      </c>
      <c r="S49" s="151">
        <v>172.4</v>
      </c>
      <c r="T49" s="151">
        <v>167</v>
      </c>
      <c r="U49" s="151">
        <v>163</v>
      </c>
      <c r="V49" s="151">
        <v>91.1</v>
      </c>
      <c r="W49" s="151">
        <v>10.199999999999999</v>
      </c>
      <c r="X49" s="151">
        <v>718</v>
      </c>
      <c r="Y49" s="151">
        <v>90</v>
      </c>
    </row>
    <row r="50" spans="2:26" s="155" customFormat="1">
      <c r="B50" s="153" t="s">
        <v>143</v>
      </c>
      <c r="C50" s="153"/>
      <c r="D50" s="213">
        <f>((MAX(D13:D49)-MIN(D13:D49))/COUNT(D14:D49))*72</f>
        <v>395.34379999998782</v>
      </c>
      <c r="E50" s="204"/>
      <c r="F50" s="205"/>
      <c r="G50" s="205"/>
      <c r="H50" s="205"/>
      <c r="I50" s="214">
        <f>AVERAGE(I14:I49)</f>
        <v>6.1999999999999966</v>
      </c>
      <c r="J50" s="206"/>
      <c r="K50" s="213"/>
      <c r="L50" s="154"/>
      <c r="M50" s="213">
        <f>((MAX(M13:M49)-MIN(M13:M49))/COUNT(M14:M49))*72</f>
        <v>29.757800000000316</v>
      </c>
      <c r="N50" s="554"/>
      <c r="O50" s="555"/>
      <c r="P50" s="555"/>
      <c r="Q50" s="556"/>
      <c r="R50" s="215">
        <f t="shared" ref="R50:Y50" si="10">AVERAGE(R14:R49)</f>
        <v>87.06783999999999</v>
      </c>
      <c r="S50" s="215">
        <f t="shared" si="10"/>
        <v>170.55416666666659</v>
      </c>
      <c r="T50" s="215">
        <f t="shared" si="10"/>
        <v>167.36111111111111</v>
      </c>
      <c r="U50" s="215">
        <f t="shared" si="10"/>
        <v>160.33333333333334</v>
      </c>
      <c r="V50" s="215">
        <f t="shared" si="10"/>
        <v>89.938888888888883</v>
      </c>
      <c r="W50" s="215">
        <f t="shared" si="10"/>
        <v>9.8902777777777775</v>
      </c>
      <c r="X50" s="215">
        <f t="shared" si="10"/>
        <v>692.13888888888891</v>
      </c>
      <c r="Y50" s="215">
        <f t="shared" si="10"/>
        <v>90</v>
      </c>
    </row>
    <row r="51" spans="2:26">
      <c r="P51" s="156"/>
      <c r="V51" s="157"/>
      <c r="Z51" s="152"/>
    </row>
    <row r="52" spans="2:26">
      <c r="V52" s="157"/>
      <c r="Z52" s="152"/>
    </row>
    <row r="53" spans="2:26">
      <c r="G53" s="156"/>
      <c r="H53" s="156"/>
      <c r="V53" s="157"/>
      <c r="Z53" s="152"/>
    </row>
    <row r="54" spans="2:26">
      <c r="V54" s="157"/>
    </row>
    <row r="55" spans="2:26">
      <c r="V55" s="157"/>
    </row>
    <row r="56" spans="2:26">
      <c r="V56" s="157"/>
    </row>
    <row r="57" spans="2:26">
      <c r="V57" s="157"/>
    </row>
    <row r="58" spans="2:26">
      <c r="V58" s="157"/>
    </row>
    <row r="59" spans="2:26">
      <c r="V59" s="157"/>
    </row>
    <row r="60" spans="2:26">
      <c r="V60" s="157"/>
    </row>
    <row r="61" spans="2:26">
      <c r="V61" s="157"/>
    </row>
    <row r="62" spans="2:26">
      <c r="V62" s="157"/>
    </row>
    <row r="63" spans="2:26">
      <c r="V63" s="157"/>
    </row>
    <row r="64" spans="2:26">
      <c r="V64" s="157"/>
    </row>
    <row r="65" spans="14:22">
      <c r="V65" s="157"/>
    </row>
    <row r="66" spans="14:22">
      <c r="V66" s="157"/>
    </row>
    <row r="67" spans="14:22">
      <c r="V67" s="157"/>
    </row>
    <row r="68" spans="14:22">
      <c r="N68" s="158"/>
      <c r="V68" s="157"/>
    </row>
    <row r="69" spans="14:22">
      <c r="V69" s="157"/>
    </row>
    <row r="70" spans="14:22">
      <c r="V70" s="157"/>
    </row>
    <row r="71" spans="14:22">
      <c r="V71" s="157"/>
    </row>
    <row r="72" spans="14:22">
      <c r="V72" s="157"/>
    </row>
    <row r="73" spans="14:22">
      <c r="V73" s="157"/>
    </row>
    <row r="74" spans="14:22">
      <c r="V74" s="157"/>
    </row>
    <row r="75" spans="14:22">
      <c r="V75" s="157"/>
    </row>
    <row r="76" spans="14:22">
      <c r="V76" s="157"/>
    </row>
    <row r="77" spans="14:22">
      <c r="V77" s="157"/>
    </row>
    <row r="78" spans="14:22">
      <c r="V78" s="157"/>
    </row>
    <row r="79" spans="14:22">
      <c r="V79" s="157"/>
    </row>
    <row r="80" spans="14:22">
      <c r="V80" s="157"/>
    </row>
    <row r="81" spans="22:22">
      <c r="V81" s="157"/>
    </row>
    <row r="82" spans="22:22">
      <c r="V82" s="157"/>
    </row>
    <row r="83" spans="22:22">
      <c r="V83" s="157"/>
    </row>
    <row r="84" spans="22:22">
      <c r="V84" s="157"/>
    </row>
    <row r="85" spans="22:22">
      <c r="V85" s="157"/>
    </row>
    <row r="86" spans="22:22">
      <c r="V86" s="157"/>
    </row>
    <row r="87" spans="22:22">
      <c r="V87" s="157"/>
    </row>
    <row r="88" spans="22:22">
      <c r="V88" s="157"/>
    </row>
    <row r="89" spans="22:22">
      <c r="V89" s="157"/>
    </row>
    <row r="90" spans="22:22">
      <c r="V90" s="157"/>
    </row>
    <row r="91" spans="22:22">
      <c r="V91" s="157"/>
    </row>
    <row r="92" spans="22:22">
      <c r="V92" s="157"/>
    </row>
    <row r="93" spans="22:22">
      <c r="V93" s="157"/>
    </row>
    <row r="94" spans="22:22">
      <c r="V94" s="157"/>
    </row>
    <row r="95" spans="22:22">
      <c r="V95" s="157"/>
    </row>
    <row r="96" spans="22:22">
      <c r="V96" s="157"/>
    </row>
    <row r="97" spans="22:22">
      <c r="V97" s="157"/>
    </row>
    <row r="98" spans="22:22">
      <c r="V98" s="157"/>
    </row>
    <row r="99" spans="22:22">
      <c r="V99" s="157"/>
    </row>
    <row r="100" spans="22:22">
      <c r="V100" s="157"/>
    </row>
    <row r="101" spans="22:22">
      <c r="V101" s="157"/>
    </row>
    <row r="102" spans="22:22">
      <c r="V102" s="157"/>
    </row>
    <row r="103" spans="22:22">
      <c r="V103" s="157"/>
    </row>
    <row r="104" spans="22:22">
      <c r="V104" s="157"/>
    </row>
    <row r="105" spans="22:22">
      <c r="V105" s="157"/>
    </row>
    <row r="106" spans="22:22">
      <c r="V106" s="157"/>
    </row>
    <row r="107" spans="22:22">
      <c r="V107" s="157"/>
    </row>
    <row r="108" spans="22:22">
      <c r="V108" s="157"/>
    </row>
    <row r="109" spans="22:22">
      <c r="V109" s="157"/>
    </row>
    <row r="110" spans="22:22">
      <c r="V110" s="157"/>
    </row>
    <row r="111" spans="22:22">
      <c r="V111" s="157"/>
    </row>
    <row r="112" spans="22:22">
      <c r="V112" s="157"/>
    </row>
    <row r="113" spans="22:22">
      <c r="V113" s="157"/>
    </row>
    <row r="114" spans="22:22">
      <c r="V114" s="157"/>
    </row>
    <row r="115" spans="22:22">
      <c r="V115" s="157"/>
    </row>
    <row r="116" spans="22:22">
      <c r="V116" s="157"/>
    </row>
    <row r="117" spans="22:22">
      <c r="V117" s="157"/>
    </row>
    <row r="118" spans="22:22">
      <c r="V118" s="157"/>
    </row>
    <row r="119" spans="22:22">
      <c r="V119" s="157"/>
    </row>
    <row r="120" spans="22:22">
      <c r="V120" s="157"/>
    </row>
    <row r="121" spans="22:22">
      <c r="V121" s="157"/>
    </row>
    <row r="122" spans="22:22">
      <c r="V122" s="157"/>
    </row>
    <row r="123" spans="22:22">
      <c r="V123" s="157"/>
    </row>
    <row r="124" spans="22:22">
      <c r="V124" s="157"/>
    </row>
    <row r="125" spans="22:22">
      <c r="V125" s="157"/>
    </row>
    <row r="126" spans="22:22">
      <c r="V126" s="157"/>
    </row>
    <row r="127" spans="22:22">
      <c r="V127" s="157"/>
    </row>
    <row r="128" spans="22:22">
      <c r="V128" s="157"/>
    </row>
    <row r="129" spans="22:22">
      <c r="V129" s="157"/>
    </row>
    <row r="130" spans="22:22">
      <c r="V130" s="157"/>
    </row>
    <row r="131" spans="22:22">
      <c r="V131" s="157"/>
    </row>
    <row r="132" spans="22:22">
      <c r="V132" s="157"/>
    </row>
    <row r="133" spans="22:22">
      <c r="V133" s="157"/>
    </row>
    <row r="134" spans="22:22">
      <c r="V134" s="157"/>
    </row>
    <row r="135" spans="22:22">
      <c r="V135" s="157"/>
    </row>
    <row r="136" spans="22:22">
      <c r="V136" s="157"/>
    </row>
    <row r="137" spans="22:22">
      <c r="V137" s="157"/>
    </row>
    <row r="138" spans="22:22">
      <c r="V138" s="157"/>
    </row>
    <row r="139" spans="22:22">
      <c r="V139" s="157"/>
    </row>
    <row r="140" spans="22:22">
      <c r="V140" s="157"/>
    </row>
    <row r="141" spans="22:22">
      <c r="V141" s="157"/>
    </row>
  </sheetData>
  <mergeCells count="29">
    <mergeCell ref="N50:Q50"/>
    <mergeCell ref="N13:Q13"/>
    <mergeCell ref="E13:J13"/>
    <mergeCell ref="F10:H10"/>
    <mergeCell ref="B2:F5"/>
    <mergeCell ref="B6:N7"/>
    <mergeCell ref="D10:E10"/>
    <mergeCell ref="O6:Q6"/>
    <mergeCell ref="D9:E9"/>
    <mergeCell ref="G2:V5"/>
    <mergeCell ref="W2:Y2"/>
    <mergeCell ref="W3:Y3"/>
    <mergeCell ref="W4:Y4"/>
    <mergeCell ref="W5:Y5"/>
    <mergeCell ref="R6:S6"/>
    <mergeCell ref="V11:Y11"/>
    <mergeCell ref="R7:S7"/>
    <mergeCell ref="Q8:R8"/>
    <mergeCell ref="S8:T8"/>
    <mergeCell ref="O7:Q7"/>
    <mergeCell ref="V12:Y12"/>
    <mergeCell ref="Q9:Y9"/>
    <mergeCell ref="U8:Y8"/>
    <mergeCell ref="T6:Y6"/>
    <mergeCell ref="T7:Y7"/>
    <mergeCell ref="B12:U12"/>
    <mergeCell ref="C8:E8"/>
    <mergeCell ref="G8:I8"/>
    <mergeCell ref="K8:L8"/>
  </mergeCells>
  <printOptions horizontalCentered="1"/>
  <pageMargins left="0.70866141732283472" right="0.39370078740157483" top="0.39370078740157483" bottom="0.39370078740157483" header="0" footer="0"/>
  <pageSetup scale="62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38FD-1F08-46A1-8847-7EBDE8D81A8C}">
  <sheetPr>
    <tabColor rgb="FF92D050"/>
    <pageSetUpPr fitToPage="1"/>
  </sheetPr>
  <dimension ref="B1:W36"/>
  <sheetViews>
    <sheetView zoomScale="70" zoomScaleNormal="70" workbookViewId="0">
      <selection activeCell="R24" sqref="R24"/>
    </sheetView>
  </sheetViews>
  <sheetFormatPr baseColWidth="10" defaultRowHeight="15"/>
  <cols>
    <col min="1" max="1" width="0.85546875" style="120" customWidth="1"/>
    <col min="2" max="13" width="11.42578125" style="120"/>
    <col min="14" max="14" width="7.7109375" style="120" customWidth="1"/>
    <col min="15" max="15" width="11.42578125" style="120" hidden="1" customWidth="1"/>
    <col min="16" max="16" width="7.5703125" style="120" customWidth="1"/>
    <col min="17" max="19" width="11.42578125" style="120"/>
    <col min="20" max="20" width="0.28515625" style="120" customWidth="1"/>
    <col min="21" max="16384" width="11.42578125" style="120"/>
  </cols>
  <sheetData>
    <row r="1" spans="2:23" ht="15.75" thickBot="1"/>
    <row r="2" spans="2:23" ht="21" thickBot="1">
      <c r="B2" s="592"/>
      <c r="C2" s="593"/>
      <c r="D2" s="593"/>
      <c r="E2" s="593"/>
      <c r="F2" s="593"/>
      <c r="G2" s="594"/>
      <c r="H2" s="601" t="s">
        <v>136</v>
      </c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121"/>
      <c r="T2" s="605" t="s">
        <v>148</v>
      </c>
      <c r="U2" s="606"/>
      <c r="V2" s="606"/>
      <c r="W2" s="607"/>
    </row>
    <row r="3" spans="2:23" ht="21" thickBot="1">
      <c r="B3" s="595"/>
      <c r="C3" s="596"/>
      <c r="D3" s="596"/>
      <c r="E3" s="596"/>
      <c r="F3" s="596"/>
      <c r="G3" s="597"/>
      <c r="H3" s="603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122"/>
      <c r="T3" s="608" t="s">
        <v>149</v>
      </c>
      <c r="U3" s="609"/>
      <c r="V3" s="609"/>
      <c r="W3" s="610"/>
    </row>
    <row r="4" spans="2:23" ht="21" thickBot="1">
      <c r="B4" s="595"/>
      <c r="C4" s="596"/>
      <c r="D4" s="596"/>
      <c r="E4" s="596"/>
      <c r="F4" s="596"/>
      <c r="G4" s="597"/>
      <c r="H4" s="603" t="s">
        <v>170</v>
      </c>
      <c r="I4" s="604"/>
      <c r="J4" s="604"/>
      <c r="K4" s="604"/>
      <c r="L4" s="604"/>
      <c r="M4" s="604"/>
      <c r="N4" s="604"/>
      <c r="O4" s="604"/>
      <c r="P4" s="604"/>
      <c r="Q4" s="604"/>
      <c r="R4" s="604"/>
      <c r="S4" s="122"/>
      <c r="T4" s="613" t="s">
        <v>150</v>
      </c>
      <c r="U4" s="614"/>
      <c r="V4" s="614"/>
      <c r="W4" s="615"/>
    </row>
    <row r="5" spans="2:23" ht="21" thickBot="1">
      <c r="B5" s="598"/>
      <c r="C5" s="599"/>
      <c r="D5" s="599"/>
      <c r="E5" s="599"/>
      <c r="F5" s="599"/>
      <c r="G5" s="600"/>
      <c r="H5" s="611"/>
      <c r="I5" s="612"/>
      <c r="J5" s="612"/>
      <c r="K5" s="612"/>
      <c r="L5" s="612"/>
      <c r="M5" s="612"/>
      <c r="N5" s="612"/>
      <c r="O5" s="612"/>
      <c r="P5" s="612"/>
      <c r="Q5" s="612"/>
      <c r="R5" s="612"/>
      <c r="S5" s="123"/>
      <c r="T5" s="616" t="s">
        <v>151</v>
      </c>
      <c r="U5" s="617"/>
      <c r="V5" s="617"/>
      <c r="W5" s="618"/>
    </row>
    <row r="6" spans="2:23">
      <c r="B6" s="124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6"/>
    </row>
    <row r="7" spans="2:23">
      <c r="B7" s="127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9"/>
    </row>
    <row r="8" spans="2:23"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9"/>
    </row>
    <row r="9" spans="2:23"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9"/>
    </row>
    <row r="10" spans="2:23"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</row>
    <row r="11" spans="2:23"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9"/>
    </row>
    <row r="12" spans="2:23"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9"/>
    </row>
    <row r="13" spans="2:23">
      <c r="B13" s="127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9"/>
    </row>
    <row r="14" spans="2:23">
      <c r="B14" s="127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9"/>
    </row>
    <row r="15" spans="2:23">
      <c r="B15" s="127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9"/>
    </row>
    <row r="16" spans="2:23"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9"/>
    </row>
    <row r="17" spans="2:23"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9"/>
    </row>
    <row r="18" spans="2:23"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9"/>
    </row>
    <row r="19" spans="2:23"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9"/>
    </row>
    <row r="20" spans="2:23">
      <c r="B20" s="127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9"/>
    </row>
    <row r="21" spans="2:23"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9"/>
    </row>
    <row r="22" spans="2:23">
      <c r="B22" s="127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9"/>
    </row>
    <row r="23" spans="2:23"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9"/>
    </row>
    <row r="24" spans="2:23">
      <c r="B24" s="127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9"/>
    </row>
    <row r="25" spans="2:23">
      <c r="B25" s="12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9"/>
    </row>
    <row r="26" spans="2:23">
      <c r="B26" s="127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9"/>
    </row>
    <row r="27" spans="2:23">
      <c r="B27" s="127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9"/>
    </row>
    <row r="28" spans="2:23"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9"/>
    </row>
    <row r="29" spans="2:23">
      <c r="B29" s="127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9"/>
    </row>
    <row r="30" spans="2:23">
      <c r="B30" s="127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9"/>
    </row>
    <row r="31" spans="2:23">
      <c r="B31" s="127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9"/>
    </row>
    <row r="32" spans="2:23"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9"/>
    </row>
    <row r="33" spans="2:23">
      <c r="B33" s="127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9"/>
    </row>
    <row r="34" spans="2:23">
      <c r="B34" s="127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9"/>
    </row>
    <row r="35" spans="2:23">
      <c r="B35" s="127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9"/>
    </row>
    <row r="36" spans="2:23" ht="15.75" thickBot="1">
      <c r="B36" s="130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2"/>
    </row>
  </sheetData>
  <mergeCells count="7">
    <mergeCell ref="B2:G5"/>
    <mergeCell ref="H2:R3"/>
    <mergeCell ref="T2:W2"/>
    <mergeCell ref="T3:W3"/>
    <mergeCell ref="H4:R5"/>
    <mergeCell ref="T4:W4"/>
    <mergeCell ref="T5:W5"/>
  </mergeCells>
  <printOptions horizontalCentered="1"/>
  <pageMargins left="0.98425196850393704" right="0.59055118110236227" top="1.9685039370078741" bottom="0.59055118110236227" header="0" footer="0"/>
  <pageSetup scale="5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D75B-E69D-45E4-ABAD-32B7F666636F}">
  <sheetPr>
    <pageSetUpPr fitToPage="1"/>
  </sheetPr>
  <dimension ref="A1:K21"/>
  <sheetViews>
    <sheetView view="pageLayout" zoomScale="80" zoomScaleNormal="100" zoomScalePageLayoutView="80" workbookViewId="0">
      <selection activeCell="R24" sqref="R24"/>
    </sheetView>
  </sheetViews>
  <sheetFormatPr baseColWidth="10" defaultRowHeight="15"/>
  <cols>
    <col min="10" max="10" width="15" customWidth="1"/>
    <col min="11" max="11" width="11.85546875" customWidth="1"/>
  </cols>
  <sheetData>
    <row r="1" spans="1:11">
      <c r="A1" s="619"/>
      <c r="B1" s="620"/>
      <c r="C1" s="621"/>
      <c r="D1" s="631" t="s">
        <v>159</v>
      </c>
      <c r="E1" s="632"/>
      <c r="F1" s="632"/>
      <c r="G1" s="632"/>
      <c r="H1" s="632"/>
      <c r="I1" s="633"/>
      <c r="J1" s="637" t="s">
        <v>148</v>
      </c>
      <c r="K1" s="638"/>
    </row>
    <row r="2" spans="1:11">
      <c r="A2" s="622"/>
      <c r="B2" s="623"/>
      <c r="C2" s="624"/>
      <c r="D2" s="634"/>
      <c r="E2" s="635"/>
      <c r="F2" s="635"/>
      <c r="G2" s="635"/>
      <c r="H2" s="635"/>
      <c r="I2" s="636"/>
      <c r="J2" s="639" t="s">
        <v>149</v>
      </c>
      <c r="K2" s="640"/>
    </row>
    <row r="3" spans="1:11">
      <c r="A3" s="622"/>
      <c r="B3" s="623"/>
      <c r="C3" s="624"/>
      <c r="D3" s="634"/>
      <c r="E3" s="635"/>
      <c r="F3" s="635"/>
      <c r="G3" s="635"/>
      <c r="H3" s="635"/>
      <c r="I3" s="636"/>
      <c r="J3" s="639" t="s">
        <v>160</v>
      </c>
      <c r="K3" s="640"/>
    </row>
    <row r="4" spans="1:11" ht="15.75" thickBot="1">
      <c r="A4" s="625"/>
      <c r="B4" s="626"/>
      <c r="C4" s="627"/>
      <c r="D4" s="628" t="s">
        <v>170</v>
      </c>
      <c r="E4" s="629"/>
      <c r="F4" s="629"/>
      <c r="G4" s="629"/>
      <c r="H4" s="629"/>
      <c r="I4" s="630"/>
      <c r="J4" s="641" t="s">
        <v>151</v>
      </c>
      <c r="K4" s="642"/>
    </row>
    <row r="5" spans="1:11">
      <c r="A5" s="619"/>
      <c r="B5" s="620"/>
      <c r="C5" s="620"/>
      <c r="D5" s="620"/>
      <c r="E5" s="620"/>
      <c r="F5" s="620"/>
      <c r="G5" s="620"/>
      <c r="H5" s="620"/>
      <c r="I5" s="620"/>
      <c r="J5" s="620"/>
      <c r="K5" s="621"/>
    </row>
    <row r="6" spans="1:11">
      <c r="A6" s="622"/>
      <c r="B6" s="623"/>
      <c r="C6" s="623"/>
      <c r="D6" s="623"/>
      <c r="E6" s="623"/>
      <c r="F6" s="623"/>
      <c r="G6" s="623"/>
      <c r="H6" s="623"/>
      <c r="I6" s="623"/>
      <c r="J6" s="623"/>
      <c r="K6" s="624"/>
    </row>
    <row r="7" spans="1:11">
      <c r="A7" s="622"/>
      <c r="B7" s="623"/>
      <c r="C7" s="623"/>
      <c r="D7" s="623"/>
      <c r="E7" s="623"/>
      <c r="F7" s="623"/>
      <c r="G7" s="623"/>
      <c r="H7" s="623"/>
      <c r="I7" s="623"/>
      <c r="J7" s="623"/>
      <c r="K7" s="624"/>
    </row>
    <row r="8" spans="1:11">
      <c r="A8" s="622"/>
      <c r="B8" s="623"/>
      <c r="C8" s="623"/>
      <c r="D8" s="623"/>
      <c r="E8" s="623"/>
      <c r="F8" s="623"/>
      <c r="G8" s="623"/>
      <c r="H8" s="623"/>
      <c r="I8" s="623"/>
      <c r="J8" s="623"/>
      <c r="K8" s="624"/>
    </row>
    <row r="9" spans="1:11">
      <c r="A9" s="622"/>
      <c r="B9" s="623"/>
      <c r="C9" s="623"/>
      <c r="D9" s="623"/>
      <c r="E9" s="623"/>
      <c r="F9" s="623"/>
      <c r="G9" s="623"/>
      <c r="H9" s="623"/>
      <c r="I9" s="623"/>
      <c r="J9" s="623"/>
      <c r="K9" s="624"/>
    </row>
    <row r="10" spans="1:11">
      <c r="A10" s="622"/>
      <c r="B10" s="623"/>
      <c r="C10" s="623"/>
      <c r="D10" s="623"/>
      <c r="E10" s="623"/>
      <c r="F10" s="623"/>
      <c r="G10" s="623"/>
      <c r="H10" s="623"/>
      <c r="I10" s="623"/>
      <c r="J10" s="623"/>
      <c r="K10" s="624"/>
    </row>
    <row r="11" spans="1:11">
      <c r="A11" s="622"/>
      <c r="B11" s="623"/>
      <c r="C11" s="623"/>
      <c r="D11" s="623"/>
      <c r="E11" s="623"/>
      <c r="F11" s="623"/>
      <c r="G11" s="623"/>
      <c r="H11" s="623"/>
      <c r="I11" s="623"/>
      <c r="J11" s="623"/>
      <c r="K11" s="624"/>
    </row>
    <row r="12" spans="1:11">
      <c r="A12" s="622"/>
      <c r="B12" s="623"/>
      <c r="C12" s="623"/>
      <c r="D12" s="623"/>
      <c r="E12" s="623"/>
      <c r="F12" s="623"/>
      <c r="G12" s="623"/>
      <c r="H12" s="623"/>
      <c r="I12" s="623"/>
      <c r="J12" s="623"/>
      <c r="K12" s="624"/>
    </row>
    <row r="13" spans="1:11">
      <c r="A13" s="622"/>
      <c r="B13" s="623"/>
      <c r="C13" s="623"/>
      <c r="D13" s="623"/>
      <c r="E13" s="623"/>
      <c r="F13" s="623"/>
      <c r="G13" s="623"/>
      <c r="H13" s="623"/>
      <c r="I13" s="623"/>
      <c r="J13" s="623"/>
      <c r="K13" s="624"/>
    </row>
    <row r="14" spans="1:11">
      <c r="A14" s="622"/>
      <c r="B14" s="623"/>
      <c r="C14" s="623"/>
      <c r="D14" s="623"/>
      <c r="E14" s="623"/>
      <c r="F14" s="623"/>
      <c r="G14" s="623"/>
      <c r="H14" s="623"/>
      <c r="I14" s="623"/>
      <c r="J14" s="623"/>
      <c r="K14" s="624"/>
    </row>
    <row r="15" spans="1:11">
      <c r="A15" s="622"/>
      <c r="B15" s="623"/>
      <c r="C15" s="623"/>
      <c r="D15" s="623"/>
      <c r="E15" s="623"/>
      <c r="F15" s="623"/>
      <c r="G15" s="623"/>
      <c r="H15" s="623"/>
      <c r="I15" s="623"/>
      <c r="J15" s="623"/>
      <c r="K15" s="624"/>
    </row>
    <row r="16" spans="1:11">
      <c r="A16" s="622"/>
      <c r="B16" s="623"/>
      <c r="C16" s="623"/>
      <c r="D16" s="623"/>
      <c r="E16" s="623"/>
      <c r="F16" s="623"/>
      <c r="G16" s="623"/>
      <c r="H16" s="623"/>
      <c r="I16" s="623"/>
      <c r="J16" s="623"/>
      <c r="K16" s="624"/>
    </row>
    <row r="17" spans="1:11">
      <c r="A17" s="622"/>
      <c r="B17" s="623"/>
      <c r="C17" s="623"/>
      <c r="D17" s="623"/>
      <c r="E17" s="623"/>
      <c r="F17" s="623"/>
      <c r="G17" s="623"/>
      <c r="H17" s="623"/>
      <c r="I17" s="623"/>
      <c r="J17" s="623"/>
      <c r="K17" s="624"/>
    </row>
    <row r="18" spans="1:11">
      <c r="A18" s="622"/>
      <c r="B18" s="623"/>
      <c r="C18" s="623"/>
      <c r="D18" s="623"/>
      <c r="E18" s="623"/>
      <c r="F18" s="623"/>
      <c r="G18" s="623"/>
      <c r="H18" s="623"/>
      <c r="I18" s="623"/>
      <c r="J18" s="623"/>
      <c r="K18" s="624"/>
    </row>
    <row r="19" spans="1:11">
      <c r="A19" s="622"/>
      <c r="B19" s="623"/>
      <c r="C19" s="623"/>
      <c r="D19" s="623"/>
      <c r="E19" s="623"/>
      <c r="F19" s="623"/>
      <c r="G19" s="623"/>
      <c r="H19" s="623"/>
      <c r="I19" s="623"/>
      <c r="J19" s="623"/>
      <c r="K19" s="624"/>
    </row>
    <row r="20" spans="1:11">
      <c r="A20" s="622"/>
      <c r="B20" s="623"/>
      <c r="C20" s="623"/>
      <c r="D20" s="623"/>
      <c r="E20" s="623"/>
      <c r="F20" s="623"/>
      <c r="G20" s="623"/>
      <c r="H20" s="623"/>
      <c r="I20" s="623"/>
      <c r="J20" s="623"/>
      <c r="K20" s="624"/>
    </row>
    <row r="21" spans="1:11" ht="15.75" thickBot="1">
      <c r="A21" s="625"/>
      <c r="B21" s="626"/>
      <c r="C21" s="626"/>
      <c r="D21" s="626"/>
      <c r="E21" s="626"/>
      <c r="F21" s="626"/>
      <c r="G21" s="626"/>
      <c r="H21" s="626"/>
      <c r="I21" s="626"/>
      <c r="J21" s="626"/>
      <c r="K21" s="627"/>
    </row>
  </sheetData>
  <mergeCells count="8">
    <mergeCell ref="A5:K21"/>
    <mergeCell ref="D4:I4"/>
    <mergeCell ref="D1:I3"/>
    <mergeCell ref="A1:C4"/>
    <mergeCell ref="J1:K1"/>
    <mergeCell ref="J2:K2"/>
    <mergeCell ref="J3:K3"/>
    <mergeCell ref="J4:K4"/>
  </mergeCells>
  <printOptions horizontalCentered="1" verticalCentered="1"/>
  <pageMargins left="1.1811023622047245" right="0.70866141732283472" top="0" bottom="0" header="0" footer="0"/>
  <pageSetup paperSize="9" scale="9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o1" rangeCreator="" othersAccessPermission="edit"/>
  </rangeList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ResultadosPrueba</vt:lpstr>
      <vt:lpstr>Result. Pples</vt:lpstr>
      <vt:lpstr>Result.Entrega</vt:lpstr>
      <vt:lpstr>Corrida</vt:lpstr>
      <vt:lpstr>Grafico</vt:lpstr>
      <vt:lpstr>FLOW RATE </vt:lpstr>
      <vt:lpstr>Corrida!Print_Area</vt:lpstr>
      <vt:lpstr>'Result. Pples'!Print_Area</vt:lpstr>
      <vt:lpstr>Corrida!Print_Titles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Jonathan Silva</cp:lastModifiedBy>
  <cp:lastPrinted>2026-02-21T19:05:46Z</cp:lastPrinted>
  <dcterms:created xsi:type="dcterms:W3CDTF">2014-03-29T03:15:55Z</dcterms:created>
  <dcterms:modified xsi:type="dcterms:W3CDTF">2026-02-27T11:27:23Z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85cc21733def4c4d996f609afec5026d</vt:lpwstr>
  </property>
  <property fmtid="{D5CDD505-2E9C-101B-9397-08002B2CF9AE}" pid="4" name="KSOProductBuildVer">
    <vt:lpwstr>3082-12.2.0.19805</vt:lpwstr>
  </property>
</Properties>
</file>